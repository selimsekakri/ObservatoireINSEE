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lim\Desktop\Observatoire INSEE\"/>
    </mc:Choice>
  </mc:AlternateContent>
  <xr:revisionPtr revIDLastSave="0" documentId="13_ncr:1_{055E8B99-F2B4-4C7C-BAFE-EB49A757E157}" xr6:coauthVersionLast="45" xr6:coauthVersionMax="45" xr10:uidLastSave="{00000000-0000-0000-0000-000000000000}"/>
  <bookViews>
    <workbookView xWindow="-110" yWindow="-110" windowWidth="19420" windowHeight="10420" xr2:uid="{D7E45AF0-8988-47B5-81F7-8F3E7E76EA36}"/>
  </bookViews>
  <sheets>
    <sheet name="Observatoire INSEE" sheetId="1" r:id="rId1"/>
    <sheet name="IndicesINSEE" sheetId="2" r:id="rId2"/>
    <sheet name="Dates" sheetId="3" r:id="rId3"/>
  </sheets>
  <definedNames>
    <definedName name="AnneeDebut">'Observatoire INSEE'!$F$48</definedName>
    <definedName name="AnneeFin">'Observatoire INSEE'!$F$50</definedName>
    <definedName name="IndiceINSEE1">'Observatoire INSEE'!$B$6</definedName>
    <definedName name="IndiceINSEE10">'Observatoire INSEE'!$B$42</definedName>
    <definedName name="IndiceINSEE2">'Observatoire INSEE'!$B$10</definedName>
    <definedName name="IndiceINSEE3">'Observatoire INSEE'!$B$14</definedName>
    <definedName name="IndiceINSEE4">'Observatoire INSEE'!$B$18</definedName>
    <definedName name="IndiceINSEE5">'Observatoire INSEE'!$B$22</definedName>
    <definedName name="IndiceINSEE6">'Observatoire INSEE'!$B$26</definedName>
    <definedName name="IndiceINSEE7">'Observatoire INSEE'!$B$30</definedName>
    <definedName name="IndiceINSEE8">'Observatoire INSEE'!$B$34</definedName>
    <definedName name="IndiceINSEE9">'Observatoire INSEE'!$B$38</definedName>
    <definedName name="MoisDebut">'Observatoire INSEE'!$D$48</definedName>
    <definedName name="MoisFin">'Observatoire INSEE'!$D$50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5" i="2" l="1"/>
  <c r="D53" i="2" l="1"/>
  <c r="D54" i="2"/>
  <c r="D47" i="2"/>
  <c r="D48" i="2"/>
  <c r="D49" i="2"/>
  <c r="D50" i="2"/>
  <c r="D51" i="2"/>
  <c r="D52" i="2"/>
  <c r="D40" i="2"/>
  <c r="D41" i="2"/>
  <c r="D42" i="2"/>
  <c r="D43" i="2"/>
  <c r="D44" i="2"/>
  <c r="D45" i="2"/>
  <c r="D46" i="2"/>
  <c r="D39" i="2"/>
  <c r="D38" i="2"/>
  <c r="D28" i="2"/>
  <c r="D29" i="2"/>
  <c r="D30" i="2"/>
  <c r="D31" i="2"/>
  <c r="D32" i="2"/>
  <c r="D33" i="2"/>
  <c r="D34" i="2"/>
  <c r="D35" i="2"/>
  <c r="D36" i="2"/>
  <c r="D37" i="2"/>
  <c r="D21" i="2"/>
  <c r="D22" i="2"/>
  <c r="D23" i="2"/>
  <c r="D24" i="2"/>
  <c r="D25" i="2"/>
  <c r="D26" i="2"/>
  <c r="D27" i="2"/>
  <c r="D14" i="2"/>
  <c r="D15" i="2"/>
  <c r="D16" i="2"/>
  <c r="D17" i="2"/>
  <c r="D18" i="2"/>
  <c r="D19" i="2"/>
  <c r="D20" i="2"/>
  <c r="D4" i="2"/>
  <c r="D5" i="2"/>
  <c r="D6" i="2"/>
  <c r="D7" i="2"/>
  <c r="D8" i="2"/>
  <c r="D9" i="2"/>
  <c r="D10" i="2"/>
  <c r="D11" i="2"/>
  <c r="D12" i="2"/>
  <c r="D13" i="2"/>
  <c r="D3" i="2"/>
  <c r="D75" i="2"/>
  <c r="D76" i="2"/>
  <c r="D77" i="2"/>
  <c r="D74" i="2"/>
  <c r="D70" i="2"/>
  <c r="D71" i="2"/>
  <c r="D72" i="2"/>
  <c r="D73" i="2"/>
  <c r="D67" i="2"/>
  <c r="D68" i="2"/>
  <c r="D69" i="2"/>
  <c r="D60" i="2"/>
  <c r="D61" i="2"/>
  <c r="D62" i="2"/>
  <c r="D63" i="2"/>
  <c r="D64" i="2"/>
  <c r="D65" i="2"/>
  <c r="D66" i="2"/>
  <c r="D59" i="2"/>
  <c r="D58" i="2"/>
  <c r="D2" i="2" l="1"/>
  <c r="D57" i="2"/>
  <c r="D56" i="2" l="1"/>
</calcChain>
</file>

<file path=xl/sharedStrings.xml><?xml version="1.0" encoding="utf-8"?>
<sst xmlns="http://schemas.openxmlformats.org/spreadsheetml/2006/main" count="237" uniqueCount="164">
  <si>
    <t>Raccourci</t>
  </si>
  <si>
    <t>NomComplet</t>
  </si>
  <si>
    <t>CodeINSEE</t>
  </si>
  <si>
    <t>TP01</t>
  </si>
  <si>
    <t>Affichage</t>
  </si>
  <si>
    <t>Années</t>
  </si>
  <si>
    <t>TP02</t>
  </si>
  <si>
    <t>Famille</t>
  </si>
  <si>
    <t>TP</t>
  </si>
  <si>
    <t>TP03a</t>
  </si>
  <si>
    <t>Index général tous travaux - Base 2010</t>
  </si>
  <si>
    <t>Travaux de génie civil et d'ouvrages d'art neufs ou rénovation - Base 2010</t>
  </si>
  <si>
    <t>Grands terrassements - Base 2010</t>
  </si>
  <si>
    <t>Travaux à l'explosif - Base 2010</t>
  </si>
  <si>
    <t>TP03b</t>
  </si>
  <si>
    <t>TP04</t>
  </si>
  <si>
    <t>TP05a</t>
  </si>
  <si>
    <t>TP05b</t>
  </si>
  <si>
    <t>TP06a</t>
  </si>
  <si>
    <t>TP06b</t>
  </si>
  <si>
    <t>TP07b</t>
  </si>
  <si>
    <t>TP08</t>
  </si>
  <si>
    <t>TP09</t>
  </si>
  <si>
    <t>TP10a</t>
  </si>
  <si>
    <t>TP10b</t>
  </si>
  <si>
    <t>TP10c</t>
  </si>
  <si>
    <t>TP11</t>
  </si>
  <si>
    <t>TP12a</t>
  </si>
  <si>
    <t>TP12b</t>
  </si>
  <si>
    <t>TP12c</t>
  </si>
  <si>
    <t>TP12d</t>
  </si>
  <si>
    <t>TP13</t>
  </si>
  <si>
    <t>TP14</t>
  </si>
  <si>
    <t>Fondations et travaux géotechniques - Base 2010</t>
  </si>
  <si>
    <t>Travaux en souterrains traditionnels - Base 2010</t>
  </si>
  <si>
    <t>Travaux en souterrains avec tunnelier - Base 2010</t>
  </si>
  <si>
    <t>Grands dragages maritimes - Base 2010</t>
  </si>
  <si>
    <t>Dragages fluviaux et petits dragages maritimes - Base 2010</t>
  </si>
  <si>
    <t>Travaux de génie civil, béton et acier pour ouvrages maritimes - Base 2010</t>
  </si>
  <si>
    <t>Travaux d’aménagement et entretien de voirie - Base 2010</t>
  </si>
  <si>
    <t>Fabrication et mise en œuvre d’enrobés - Base 2010</t>
  </si>
  <si>
    <t>Canalisations, assainissement et adduction d’eau avec fourniture de tuyaux - Base 2010</t>
  </si>
  <si>
    <t>Canalisations sans fourniture de tuyaux - Base 2010</t>
  </si>
  <si>
    <t>Réhabilitation de canalisations non visitables - Base 2010</t>
  </si>
  <si>
    <t>Canalisations grandes distances de transport / transfert  avec fourniture de tuyaux - Base 2010</t>
  </si>
  <si>
    <t>Réseaux d'énergie et de communication - Base 2010</t>
  </si>
  <si>
    <t>Charpentes et ouvrages d’art métalliques - Base 2010</t>
  </si>
  <si>
    <t>Éclairage public -Travaux d'installation - Base 2010</t>
  </si>
  <si>
    <t>Éclairage public - Travaux  de maintenance - Base 2010</t>
  </si>
  <si>
    <t>Travaux immergés par scaphandriers - Base 2010</t>
  </si>
  <si>
    <t>Réseaux de communication en fibre optique - Base 2010</t>
  </si>
  <si>
    <t>BT</t>
  </si>
  <si>
    <t>BT01</t>
  </si>
  <si>
    <t>BT03</t>
  </si>
  <si>
    <t>BT02</t>
  </si>
  <si>
    <t>BT06</t>
  </si>
  <si>
    <t>BT07</t>
  </si>
  <si>
    <t>BT08</t>
  </si>
  <si>
    <t>BT09</t>
  </si>
  <si>
    <t>BT10</t>
  </si>
  <si>
    <t>BT11</t>
  </si>
  <si>
    <t>BT12</t>
  </si>
  <si>
    <t>BT14</t>
  </si>
  <si>
    <t>BT16b</t>
  </si>
  <si>
    <t>BT18a</t>
  </si>
  <si>
    <t>BT19b</t>
  </si>
  <si>
    <t>BT26</t>
  </si>
  <si>
    <t>BT27</t>
  </si>
  <si>
    <t>BT28</t>
  </si>
  <si>
    <t>BT30</t>
  </si>
  <si>
    <t>BT32</t>
  </si>
  <si>
    <t>BT33</t>
  </si>
  <si>
    <t>BT34</t>
  </si>
  <si>
    <t>BT35</t>
  </si>
  <si>
    <t>BT38</t>
  </si>
  <si>
    <t>BT40</t>
  </si>
  <si>
    <t>BT41</t>
  </si>
  <si>
    <t>BT42</t>
  </si>
  <si>
    <t>BT43</t>
  </si>
  <si>
    <t>BT45</t>
  </si>
  <si>
    <t>BT46</t>
  </si>
  <si>
    <t>BT47</t>
  </si>
  <si>
    <t>BT48</t>
  </si>
  <si>
    <t>BT49</t>
  </si>
  <si>
    <t>BT50</t>
  </si>
  <si>
    <t>BT51</t>
  </si>
  <si>
    <t>BT52</t>
  </si>
  <si>
    <t>BT53</t>
  </si>
  <si>
    <t>BT54</t>
  </si>
  <si>
    <t>Tous corps d'état - Base 2010</t>
  </si>
  <si>
    <t>Terrassements - Base 2010</t>
  </si>
  <si>
    <t>Maçonnerie et canalisations en béton (sauf ossature, béton armé, carrelage, revêtement et plâtrerie) - Base 2010</t>
  </si>
  <si>
    <t>Ossature, ouvrages en béton armé - Base 2010</t>
  </si>
  <si>
    <t>Ossature et charpentes métalliques - Base 2010</t>
  </si>
  <si>
    <t>Plâtre et préfabriqués - Base 2010</t>
  </si>
  <si>
    <t>Ossature bois - Base 2010</t>
  </si>
  <si>
    <t xml:space="preserve">	Étanchéité - Base 2010</t>
  </si>
  <si>
    <t>Imperméabilité de façades - Base 2010</t>
  </si>
  <si>
    <t>Menuiseries PVC - Base 2010</t>
  </si>
  <si>
    <t>Rénovation-entretien tous corps d'état - Base 2010</t>
  </si>
  <si>
    <t>Couverture et bardage en tôles d'acier revêtement avec revêtement étanchéité - Base 2010</t>
  </si>
  <si>
    <t>Ascenseurs - Base 2010</t>
  </si>
  <si>
    <t>Électricité - Base 2010</t>
  </si>
  <si>
    <t>Peinture, tenture, revêtements muraux - Base 2010</t>
  </si>
  <si>
    <t>Vitrerie-miroiterie - Base 2010</t>
  </si>
  <si>
    <t>Menuiserie en alliage d'aluminium - Base 2010</t>
  </si>
  <si>
    <t>Menuiserie en acier et serrurerie - Base 2010</t>
  </si>
  <si>
    <t>Ventilation et conditionnement d'air - Base 2010</t>
  </si>
  <si>
    <t>Chauffage central (à l'exclusion du chauffage électrique) - Base 2010</t>
  </si>
  <si>
    <t>Plomberie sanitaire (y compris appareils) - Base 2010</t>
  </si>
  <si>
    <t>Couverture en bardeaux bituminés d'asphalte - Base 2010</t>
  </si>
  <si>
    <t>Couverture en zinc et métal (sauf cuivre) - Base 2010</t>
  </si>
  <si>
    <t>Couverture en tuiles en béton - Base 2010</t>
  </si>
  <si>
    <t>Couverture en tuiles en terre cuite - Base 2010</t>
  </si>
  <si>
    <t>Couverture en ardoises de schiste - Base 2010</t>
  </si>
  <si>
    <t>Fermeture de baies en métal ferreux - Base 2010</t>
  </si>
  <si>
    <t>Fermeture de baies en aluminium - Base 2010</t>
  </si>
  <si>
    <t>Fermeture de baies en plastique y compris fenêtre PVC - Base 2010</t>
  </si>
  <si>
    <t>Menuiserie extérieure - Base 2010</t>
  </si>
  <si>
    <t>Menuiserie intérieure - Base 2010</t>
  </si>
  <si>
    <t>Charpente en bois - Base 2010</t>
  </si>
  <si>
    <t>Revêtements en plaque de pierre naturelle sciée et produits assimilés - Base 2010</t>
  </si>
  <si>
    <t>Revêtements en textiles naturels - Base 2010</t>
  </si>
  <si>
    <t>Revêtements en textiles synthétiques - Base 2010</t>
  </si>
  <si>
    <t>Revêtements en plastique - Base 2010</t>
  </si>
  <si>
    <t>Carrelage et revêtement céramique - Base 2010</t>
  </si>
  <si>
    <t>IDC</t>
  </si>
  <si>
    <t>IDC-EV1</t>
  </si>
  <si>
    <t>IDC-EV2</t>
  </si>
  <si>
    <t>IDC-EV3</t>
  </si>
  <si>
    <t>IDC-EV4</t>
  </si>
  <si>
    <t>IDC-FD</t>
  </si>
  <si>
    <t>IDC-FG</t>
  </si>
  <si>
    <t>IDC-FV</t>
  </si>
  <si>
    <t>IDC-IM</t>
  </si>
  <si>
    <t>IDC-ING</t>
  </si>
  <si>
    <t>IDC-MABTGO</t>
  </si>
  <si>
    <t>IDC-MABTSO</t>
  </si>
  <si>
    <t>IDC-MATP</t>
  </si>
  <si>
    <t>IDC-PMR</t>
  </si>
  <si>
    <t>IDC-TRBT</t>
  </si>
  <si>
    <t>IDC-TRTP</t>
  </si>
  <si>
    <t>IDC-TSH</t>
  </si>
  <si>
    <t>Travaux de végétalisation - Base 2010</t>
  </si>
  <si>
    <t>Application de produits phytosanitaires - Base 2010</t>
  </si>
  <si>
    <t>Travaux d'entretien d'espaces verts - Base 2010</t>
  </si>
  <si>
    <t>Poste Frais divers des index bâtiment et travaux publics - Base 2010</t>
  </si>
  <si>
    <t>Travaux de création d'espaces verts - Base 2010</t>
  </si>
  <si>
    <t>Fournitures de graines - Base 2010</t>
  </si>
  <si>
    <t>Fournitures de végétaux - Base 2010</t>
  </si>
  <si>
    <t>Indice de réactualisation des actifs matériels dans la construction - Base 2010</t>
  </si>
  <si>
    <t>Ingénierie - Base 2010</t>
  </si>
  <si>
    <t>Poste matériel des index bâtiment Gros-oeuvre - Base 2010</t>
  </si>
  <si>
    <t>Poste matériel des index bâtiment Second-oeuvre - Base 2010</t>
  </si>
  <si>
    <t>Poste matériel des index travaux publics - Base 2010</t>
  </si>
  <si>
    <t>Produits de Marquage Routier - Base 2010</t>
  </si>
  <si>
    <t>Poste Transports routiers des index Bâtiment - Base 2010</t>
  </si>
  <si>
    <t>Poste Transports routiers des index Travaux Publics - Base 2010</t>
  </si>
  <si>
    <t>Travaux de signalisation horizontale - Base 2010</t>
  </si>
  <si>
    <t>/</t>
  </si>
  <si>
    <t>IPS</t>
  </si>
  <si>
    <t>IPS-TE</t>
  </si>
  <si>
    <t>Transports et entreposage (NAF rév. 2, niv. section poste H) - Base 100 en 2015</t>
  </si>
  <si>
    <t>dsfsd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</si>
</sst>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000"/>
    <numFmt numFmtId="165" formatCode="00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EECE6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Font="1"/>
    <xf numFmtId="0" fontId="0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vertical="center"/>
    </xf>
    <xf numFmtId="0" fontId="0" fillId="2" borderId="3" xfId="0" applyFill="1" applyBorder="1"/>
    <xf numFmtId="0" fontId="0" fillId="2" borderId="1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0" borderId="0" xfId="0" applyBorder="1"/>
    <xf numFmtId="0" fontId="0" fillId="2" borderId="0" xfId="0" applyFill="1" applyBorder="1" applyAlignment="1">
      <alignment horizontal="center"/>
    </xf>
    <xf numFmtId="0" fontId="3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/>
    <xf numFmtId="0" fontId="3" fillId="2" borderId="0" xfId="0" applyFont="1" applyFill="1" applyBorder="1" applyAlignment="1">
      <alignment horizontal="right" vertical="center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3" borderId="0" xfId="0" applyFill="1"/>
    <xf numFmtId="0" fontId="4" fillId="3" borderId="0" xfId="1" applyFill="1"/>
    <xf numFmtId="0" fontId="6" fillId="2" borderId="0" xfId="0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7">
    <dxf>
      <numFmt numFmtId="164" formatCode="00000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EECE6"/>
      <color rgb="FFFDDFD5"/>
      <color rgb="FFBDAEFC"/>
      <color rgb="FFF5B5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1528540</xdr:colOff>
      <xdr:row>51</xdr:row>
      <xdr:rowOff>139700</xdr:rowOff>
    </xdr:from>
    <xdr:to>
      <xdr:col>7</xdr:col>
      <xdr:colOff>13611</xdr:colOff>
      <xdr:row>53</xdr:row>
      <xdr:rowOff>139700</xdr:rowOff>
    </xdr:to>
    <xdr:sp macro="[0]!OuvrirXML.OuvrirXM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8B6D78C5-D17E-41B0-A3D9-AE29B522AD0D}"/>
            </a:ext>
          </a:extLst>
        </xdr:cNvPr>
        <xdr:cNvSpPr/>
      </xdr:nvSpPr>
      <xdr:spPr>
        <a:xfrm>
          <a:off x="1719040" y="9709150"/>
          <a:ext cx="3685721" cy="368300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27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baseline="0"/>
            <a:t>Générer le tableau d'analyse</a:t>
          </a:r>
          <a:endParaRPr lang="fr-FR" sz="1400" b="1"/>
        </a:p>
      </xdr:txBody>
    </xdr:sp>
    <xdr:clientData/>
  </xdr:twoCellAnchor>
  <xdr:twoCellAnchor>
    <xdr:from>
      <xdr:col>1</xdr:col>
      <xdr:colOff>3970</xdr:colOff>
      <xdr:row>1</xdr:row>
      <xdr:rowOff>3970</xdr:rowOff>
    </xdr:from>
    <xdr:to>
      <xdr:col>7</xdr:col>
      <xdr:colOff>1533071</xdr:colOff>
      <xdr:row>1</xdr:row>
      <xdr:rowOff>333376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6A34BC8-C0AF-4158-8575-A95138AFF197}"/>
            </a:ext>
          </a:extLst>
        </xdr:cNvPr>
        <xdr:cNvSpPr/>
      </xdr:nvSpPr>
      <xdr:spPr>
        <a:xfrm>
          <a:off x="194470" y="189934"/>
          <a:ext cx="6727030" cy="329406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27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400" b="1"/>
            <a:t>Observatoire des indices INSEE</a:t>
          </a:r>
        </a:p>
      </xdr:txBody>
    </xdr:sp>
    <xdr:clientData/>
  </xdr:twoCellAnchor>
  <xdr:twoCellAnchor>
    <xdr:from>
      <xdr:col>0</xdr:col>
      <xdr:colOff>185965</xdr:colOff>
      <xdr:row>2</xdr:row>
      <xdr:rowOff>152400</xdr:rowOff>
    </xdr:from>
    <xdr:to>
      <xdr:col>2</xdr:col>
      <xdr:colOff>0</xdr:colOff>
      <xdr:row>4</xdr:row>
      <xdr:rowOff>45357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54993A2F-4645-4E0D-881C-B3FE5AB720ED}"/>
            </a:ext>
          </a:extLst>
        </xdr:cNvPr>
        <xdr:cNvSpPr/>
      </xdr:nvSpPr>
      <xdr:spPr>
        <a:xfrm>
          <a:off x="185965" y="674007"/>
          <a:ext cx="1764392" cy="273957"/>
        </a:xfrm>
        <a:prstGeom prst="round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tint val="66000"/>
                <a:satMod val="160000"/>
              </a:schemeClr>
            </a:gs>
            <a:gs pos="50000">
              <a:schemeClr val="tx1">
                <a:lumMod val="65000"/>
                <a:lumOff val="35000"/>
                <a:tint val="44500"/>
                <a:satMod val="160000"/>
              </a:schemeClr>
            </a:gs>
            <a:gs pos="100000">
              <a:schemeClr val="tx1">
                <a:lumMod val="65000"/>
                <a:lumOff val="35000"/>
                <a:tint val="23500"/>
                <a:satMod val="160000"/>
              </a:schemeClr>
            </a:gs>
          </a:gsLst>
          <a:lin ang="2700000" scaled="1"/>
          <a:tileRect/>
        </a:gradFill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Indice</a:t>
          </a:r>
          <a:r>
            <a:rPr lang="fr-FR" sz="1100" b="1" baseline="0">
              <a:solidFill>
                <a:sysClr val="windowText" lastClr="000000"/>
              </a:solidFill>
            </a:rPr>
            <a:t> INSEE 1 :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6</xdr:row>
      <xdr:rowOff>152400</xdr:rowOff>
    </xdr:from>
    <xdr:to>
      <xdr:col>2</xdr:col>
      <xdr:colOff>4535</xdr:colOff>
      <xdr:row>8</xdr:row>
      <xdr:rowOff>45357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536326B-A29A-43DD-A33F-93AEEBA18FB0}"/>
            </a:ext>
          </a:extLst>
        </xdr:cNvPr>
        <xdr:cNvSpPr/>
      </xdr:nvSpPr>
      <xdr:spPr>
        <a:xfrm>
          <a:off x="190500" y="1409700"/>
          <a:ext cx="1763485" cy="261257"/>
        </a:xfrm>
        <a:prstGeom prst="round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tint val="66000"/>
                <a:satMod val="160000"/>
              </a:schemeClr>
            </a:gs>
            <a:gs pos="50000">
              <a:schemeClr val="tx1">
                <a:lumMod val="65000"/>
                <a:lumOff val="35000"/>
                <a:tint val="44500"/>
                <a:satMod val="160000"/>
              </a:schemeClr>
            </a:gs>
            <a:gs pos="100000">
              <a:schemeClr val="tx1">
                <a:lumMod val="65000"/>
                <a:lumOff val="35000"/>
                <a:tint val="23500"/>
                <a:satMod val="160000"/>
              </a:schemeClr>
            </a:gs>
          </a:gsLst>
          <a:lin ang="2700000" scaled="1"/>
          <a:tileRect/>
        </a:gradFill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Indice</a:t>
          </a:r>
          <a:r>
            <a:rPr lang="fr-FR" sz="1100" b="1" baseline="0">
              <a:solidFill>
                <a:sysClr val="windowText" lastClr="000000"/>
              </a:solidFill>
            </a:rPr>
            <a:t> INSEE 2 :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10</xdr:row>
      <xdr:rowOff>158750</xdr:rowOff>
    </xdr:from>
    <xdr:to>
      <xdr:col>2</xdr:col>
      <xdr:colOff>4535</xdr:colOff>
      <xdr:row>12</xdr:row>
      <xdr:rowOff>51707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622AB4E8-3FE8-4965-BD91-D5A3355D0AA1}"/>
            </a:ext>
          </a:extLst>
        </xdr:cNvPr>
        <xdr:cNvSpPr/>
      </xdr:nvSpPr>
      <xdr:spPr>
        <a:xfrm>
          <a:off x="190500" y="2152650"/>
          <a:ext cx="1763485" cy="261257"/>
        </a:xfrm>
        <a:prstGeom prst="round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tint val="66000"/>
                <a:satMod val="160000"/>
              </a:schemeClr>
            </a:gs>
            <a:gs pos="50000">
              <a:schemeClr val="tx1">
                <a:lumMod val="65000"/>
                <a:lumOff val="35000"/>
                <a:tint val="44500"/>
                <a:satMod val="160000"/>
              </a:schemeClr>
            </a:gs>
            <a:gs pos="100000">
              <a:schemeClr val="tx1">
                <a:lumMod val="65000"/>
                <a:lumOff val="35000"/>
                <a:tint val="23500"/>
                <a:satMod val="160000"/>
              </a:schemeClr>
            </a:gs>
          </a:gsLst>
          <a:lin ang="2700000" scaled="1"/>
          <a:tileRect/>
        </a:gradFill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Indice</a:t>
          </a:r>
          <a:r>
            <a:rPr lang="fr-FR" sz="1100" b="1" baseline="0">
              <a:solidFill>
                <a:sysClr val="windowText" lastClr="000000"/>
              </a:solidFill>
            </a:rPr>
            <a:t> INSEE 3 :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14</xdr:row>
      <xdr:rowOff>165100</xdr:rowOff>
    </xdr:from>
    <xdr:to>
      <xdr:col>2</xdr:col>
      <xdr:colOff>4535</xdr:colOff>
      <xdr:row>16</xdr:row>
      <xdr:rowOff>45357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C1D31F3A-5655-4122-9E85-940D3CAE767C}"/>
            </a:ext>
          </a:extLst>
        </xdr:cNvPr>
        <xdr:cNvSpPr/>
      </xdr:nvSpPr>
      <xdr:spPr>
        <a:xfrm>
          <a:off x="190500" y="2895600"/>
          <a:ext cx="1763485" cy="261257"/>
        </a:xfrm>
        <a:prstGeom prst="round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tint val="66000"/>
                <a:satMod val="160000"/>
              </a:schemeClr>
            </a:gs>
            <a:gs pos="50000">
              <a:schemeClr val="tx1">
                <a:lumMod val="65000"/>
                <a:lumOff val="35000"/>
                <a:tint val="44500"/>
                <a:satMod val="160000"/>
              </a:schemeClr>
            </a:gs>
            <a:gs pos="100000">
              <a:schemeClr val="tx1">
                <a:lumMod val="65000"/>
                <a:lumOff val="35000"/>
                <a:tint val="23500"/>
                <a:satMod val="160000"/>
              </a:schemeClr>
            </a:gs>
          </a:gsLst>
          <a:lin ang="2700000" scaled="1"/>
          <a:tileRect/>
        </a:gra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Indice</a:t>
          </a:r>
          <a:r>
            <a:rPr lang="fr-FR" sz="1100" b="1" baseline="0">
              <a:solidFill>
                <a:sysClr val="windowText" lastClr="000000"/>
              </a:solidFill>
            </a:rPr>
            <a:t> INSEE 4 :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18</xdr:row>
      <xdr:rowOff>165100</xdr:rowOff>
    </xdr:from>
    <xdr:to>
      <xdr:col>2</xdr:col>
      <xdr:colOff>4535</xdr:colOff>
      <xdr:row>20</xdr:row>
      <xdr:rowOff>45357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9070C4CB-61B7-4349-9194-5EE64B1DEBD4}"/>
            </a:ext>
          </a:extLst>
        </xdr:cNvPr>
        <xdr:cNvSpPr/>
      </xdr:nvSpPr>
      <xdr:spPr>
        <a:xfrm>
          <a:off x="190500" y="3644900"/>
          <a:ext cx="1763485" cy="261257"/>
        </a:xfrm>
        <a:prstGeom prst="round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tint val="66000"/>
                <a:satMod val="160000"/>
              </a:schemeClr>
            </a:gs>
            <a:gs pos="50000">
              <a:schemeClr val="tx1">
                <a:lumMod val="65000"/>
                <a:lumOff val="35000"/>
                <a:tint val="44500"/>
                <a:satMod val="160000"/>
              </a:schemeClr>
            </a:gs>
            <a:gs pos="100000">
              <a:schemeClr val="tx1">
                <a:lumMod val="65000"/>
                <a:lumOff val="35000"/>
                <a:tint val="23500"/>
                <a:satMod val="160000"/>
              </a:schemeClr>
            </a:gs>
          </a:gsLst>
          <a:lin ang="2700000" scaled="1"/>
          <a:tileRect/>
        </a:gra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Indice</a:t>
          </a:r>
          <a:r>
            <a:rPr lang="fr-FR" sz="1100" b="1" baseline="0">
              <a:solidFill>
                <a:sysClr val="windowText" lastClr="000000"/>
              </a:solidFill>
            </a:rPr>
            <a:t> INSEE 5 :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22</xdr:row>
      <xdr:rowOff>165100</xdr:rowOff>
    </xdr:from>
    <xdr:to>
      <xdr:col>2</xdr:col>
      <xdr:colOff>4535</xdr:colOff>
      <xdr:row>24</xdr:row>
      <xdr:rowOff>45357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EA53FDBC-8139-4BBE-8102-96A629F7D585}"/>
            </a:ext>
          </a:extLst>
        </xdr:cNvPr>
        <xdr:cNvSpPr/>
      </xdr:nvSpPr>
      <xdr:spPr>
        <a:xfrm>
          <a:off x="190500" y="4394200"/>
          <a:ext cx="1763485" cy="261257"/>
        </a:xfrm>
        <a:prstGeom prst="round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tint val="66000"/>
                <a:satMod val="160000"/>
              </a:schemeClr>
            </a:gs>
            <a:gs pos="50000">
              <a:schemeClr val="tx1">
                <a:lumMod val="65000"/>
                <a:lumOff val="35000"/>
                <a:tint val="44500"/>
                <a:satMod val="160000"/>
              </a:schemeClr>
            </a:gs>
            <a:gs pos="100000">
              <a:schemeClr val="tx1">
                <a:lumMod val="65000"/>
                <a:lumOff val="35000"/>
                <a:tint val="23500"/>
                <a:satMod val="160000"/>
              </a:schemeClr>
            </a:gs>
          </a:gsLst>
          <a:lin ang="2700000" scaled="1"/>
          <a:tileRect/>
        </a:gra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Indice</a:t>
          </a:r>
          <a:r>
            <a:rPr lang="fr-FR" sz="1100" b="1" baseline="0">
              <a:solidFill>
                <a:sysClr val="windowText" lastClr="000000"/>
              </a:solidFill>
            </a:rPr>
            <a:t> INSEE 6 :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26</xdr:row>
      <xdr:rowOff>165100</xdr:rowOff>
    </xdr:from>
    <xdr:to>
      <xdr:col>2</xdr:col>
      <xdr:colOff>4535</xdr:colOff>
      <xdr:row>28</xdr:row>
      <xdr:rowOff>45357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6270339-0877-44D5-A0FF-D1767DFC7235}"/>
            </a:ext>
          </a:extLst>
        </xdr:cNvPr>
        <xdr:cNvSpPr/>
      </xdr:nvSpPr>
      <xdr:spPr>
        <a:xfrm>
          <a:off x="190500" y="5143500"/>
          <a:ext cx="1763485" cy="261257"/>
        </a:xfrm>
        <a:prstGeom prst="round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tint val="66000"/>
                <a:satMod val="160000"/>
              </a:schemeClr>
            </a:gs>
            <a:gs pos="50000">
              <a:schemeClr val="tx1">
                <a:lumMod val="65000"/>
                <a:lumOff val="35000"/>
                <a:tint val="44500"/>
                <a:satMod val="160000"/>
              </a:schemeClr>
            </a:gs>
            <a:gs pos="100000">
              <a:schemeClr val="tx1">
                <a:lumMod val="65000"/>
                <a:lumOff val="35000"/>
                <a:tint val="23500"/>
                <a:satMod val="160000"/>
              </a:schemeClr>
            </a:gs>
          </a:gsLst>
          <a:lin ang="2700000" scaled="1"/>
          <a:tileRect/>
        </a:gra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Indice</a:t>
          </a:r>
          <a:r>
            <a:rPr lang="fr-FR" sz="1100" b="1" baseline="0">
              <a:solidFill>
                <a:sysClr val="windowText" lastClr="000000"/>
              </a:solidFill>
            </a:rPr>
            <a:t> INSEE 7 :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30</xdr:row>
      <xdr:rowOff>165100</xdr:rowOff>
    </xdr:from>
    <xdr:to>
      <xdr:col>2</xdr:col>
      <xdr:colOff>4535</xdr:colOff>
      <xdr:row>32</xdr:row>
      <xdr:rowOff>45357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6EE7E892-C5E9-4D92-9A15-7326DB38E023}"/>
            </a:ext>
          </a:extLst>
        </xdr:cNvPr>
        <xdr:cNvSpPr/>
      </xdr:nvSpPr>
      <xdr:spPr>
        <a:xfrm>
          <a:off x="190500" y="5892800"/>
          <a:ext cx="1763485" cy="261257"/>
        </a:xfrm>
        <a:prstGeom prst="round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tint val="66000"/>
                <a:satMod val="160000"/>
              </a:schemeClr>
            </a:gs>
            <a:gs pos="50000">
              <a:schemeClr val="tx1">
                <a:lumMod val="65000"/>
                <a:lumOff val="35000"/>
                <a:tint val="44500"/>
                <a:satMod val="160000"/>
              </a:schemeClr>
            </a:gs>
            <a:gs pos="100000">
              <a:schemeClr val="tx1">
                <a:lumMod val="65000"/>
                <a:lumOff val="35000"/>
                <a:tint val="23500"/>
                <a:satMod val="160000"/>
              </a:schemeClr>
            </a:gs>
          </a:gsLst>
          <a:lin ang="2700000" scaled="1"/>
          <a:tileRect/>
        </a:gra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Indice</a:t>
          </a:r>
          <a:r>
            <a:rPr lang="fr-FR" sz="1100" b="1" baseline="0">
              <a:solidFill>
                <a:sysClr val="windowText" lastClr="000000"/>
              </a:solidFill>
            </a:rPr>
            <a:t> INSEE 8 :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34</xdr:row>
      <xdr:rowOff>165100</xdr:rowOff>
    </xdr:from>
    <xdr:to>
      <xdr:col>2</xdr:col>
      <xdr:colOff>4535</xdr:colOff>
      <xdr:row>36</xdr:row>
      <xdr:rowOff>45357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B5511EED-3000-49BC-A3BD-83D2833F97CB}"/>
            </a:ext>
          </a:extLst>
        </xdr:cNvPr>
        <xdr:cNvSpPr/>
      </xdr:nvSpPr>
      <xdr:spPr>
        <a:xfrm>
          <a:off x="190500" y="6642100"/>
          <a:ext cx="1763485" cy="261257"/>
        </a:xfrm>
        <a:prstGeom prst="round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tint val="66000"/>
                <a:satMod val="160000"/>
              </a:schemeClr>
            </a:gs>
            <a:gs pos="50000">
              <a:schemeClr val="tx1">
                <a:lumMod val="65000"/>
                <a:lumOff val="35000"/>
                <a:tint val="44500"/>
                <a:satMod val="160000"/>
              </a:schemeClr>
            </a:gs>
            <a:gs pos="100000">
              <a:schemeClr val="tx1">
                <a:lumMod val="65000"/>
                <a:lumOff val="35000"/>
                <a:tint val="23500"/>
                <a:satMod val="160000"/>
              </a:schemeClr>
            </a:gs>
          </a:gsLst>
          <a:lin ang="2700000" scaled="1"/>
          <a:tileRect/>
        </a:gra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Indice</a:t>
          </a:r>
          <a:r>
            <a:rPr lang="fr-FR" sz="1100" b="1" baseline="0">
              <a:solidFill>
                <a:sysClr val="windowText" lastClr="000000"/>
              </a:solidFill>
            </a:rPr>
            <a:t> INSEE 9 :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38</xdr:row>
      <xdr:rowOff>165100</xdr:rowOff>
    </xdr:from>
    <xdr:to>
      <xdr:col>2</xdr:col>
      <xdr:colOff>4535</xdr:colOff>
      <xdr:row>40</xdr:row>
      <xdr:rowOff>45357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F68995C5-8C69-45DF-B635-26D142BD7AEC}"/>
            </a:ext>
          </a:extLst>
        </xdr:cNvPr>
        <xdr:cNvSpPr/>
      </xdr:nvSpPr>
      <xdr:spPr>
        <a:xfrm>
          <a:off x="190500" y="7391400"/>
          <a:ext cx="1763485" cy="261257"/>
        </a:xfrm>
        <a:prstGeom prst="round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tint val="66000"/>
                <a:satMod val="160000"/>
              </a:schemeClr>
            </a:gs>
            <a:gs pos="50000">
              <a:schemeClr val="tx1">
                <a:lumMod val="65000"/>
                <a:lumOff val="35000"/>
                <a:tint val="44500"/>
                <a:satMod val="160000"/>
              </a:schemeClr>
            </a:gs>
            <a:gs pos="100000">
              <a:schemeClr val="tx1">
                <a:lumMod val="65000"/>
                <a:lumOff val="35000"/>
                <a:tint val="23500"/>
                <a:satMod val="160000"/>
              </a:schemeClr>
            </a:gs>
          </a:gsLst>
          <a:lin ang="2700000" scaled="1"/>
          <a:tileRect/>
        </a:gra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Indice</a:t>
          </a:r>
          <a:r>
            <a:rPr lang="fr-FR" sz="1100" b="1" baseline="0">
              <a:solidFill>
                <a:sysClr val="windowText" lastClr="000000"/>
              </a:solidFill>
            </a:rPr>
            <a:t> INSEE 10 :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555626</xdr:colOff>
      <xdr:row>42</xdr:row>
      <xdr:rowOff>158750</xdr:rowOff>
    </xdr:from>
    <xdr:to>
      <xdr:col>7</xdr:col>
      <xdr:colOff>1026583</xdr:colOff>
      <xdr:row>44</xdr:row>
      <xdr:rowOff>39007</xdr:rowOff>
    </xdr:to>
    <xdr:sp macro="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9F1A0ACE-407F-47ED-8543-18A65276441B}"/>
            </a:ext>
          </a:extLst>
        </xdr:cNvPr>
        <xdr:cNvSpPr/>
      </xdr:nvSpPr>
      <xdr:spPr>
        <a:xfrm>
          <a:off x="746126" y="2905125"/>
          <a:ext cx="5662082" cy="250674"/>
        </a:xfrm>
        <a:prstGeom prst="roundRect">
          <a:avLst/>
        </a:prstGeom>
        <a:gradFill flip="none" rotWithShape="1">
          <a:gsLst>
            <a:gs pos="0">
              <a:schemeClr val="tx2">
                <a:lumMod val="40000"/>
                <a:lumOff val="60000"/>
                <a:tint val="66000"/>
                <a:satMod val="160000"/>
              </a:schemeClr>
            </a:gs>
            <a:gs pos="50000">
              <a:schemeClr val="tx2">
                <a:lumMod val="40000"/>
                <a:lumOff val="60000"/>
                <a:tint val="44500"/>
                <a:satMod val="160000"/>
              </a:schemeClr>
            </a:gs>
            <a:gs pos="100000">
              <a:schemeClr val="tx2">
                <a:lumMod val="40000"/>
                <a:lumOff val="60000"/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Bornes chronologiques</a:t>
          </a:r>
        </a:p>
      </xdr:txBody>
    </xdr:sp>
    <xdr:clientData/>
  </xdr:twoCellAnchor>
  <xdr:twoCellAnchor>
    <xdr:from>
      <xdr:col>1</xdr:col>
      <xdr:colOff>0</xdr:colOff>
      <xdr:row>46</xdr:row>
      <xdr:rowOff>158750</xdr:rowOff>
    </xdr:from>
    <xdr:to>
      <xdr:col>2</xdr:col>
      <xdr:colOff>4535</xdr:colOff>
      <xdr:row>48</xdr:row>
      <xdr:rowOff>26307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8F05B80E-CAAB-490C-9702-DBBC35D37364}"/>
            </a:ext>
          </a:extLst>
        </xdr:cNvPr>
        <xdr:cNvSpPr/>
      </xdr:nvSpPr>
      <xdr:spPr>
        <a:xfrm>
          <a:off x="190500" y="8782050"/>
          <a:ext cx="1541235" cy="248557"/>
        </a:xfrm>
        <a:prstGeom prst="round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tint val="66000"/>
                <a:satMod val="160000"/>
              </a:schemeClr>
            </a:gs>
            <a:gs pos="50000">
              <a:schemeClr val="tx1">
                <a:lumMod val="65000"/>
                <a:lumOff val="35000"/>
                <a:tint val="44500"/>
                <a:satMod val="160000"/>
              </a:schemeClr>
            </a:gs>
            <a:gs pos="100000">
              <a:schemeClr val="tx1">
                <a:lumMod val="65000"/>
                <a:lumOff val="35000"/>
                <a:tint val="23500"/>
                <a:satMod val="160000"/>
              </a:schemeClr>
            </a:gs>
          </a:gsLst>
          <a:lin ang="2700000" scaled="1"/>
          <a:tileRect/>
        </a:gradFill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Date de début </a:t>
          </a:r>
          <a:r>
            <a:rPr lang="fr-FR" sz="1100" b="1" baseline="0">
              <a:solidFill>
                <a:sysClr val="windowText" lastClr="000000"/>
              </a:solidFill>
            </a:rPr>
            <a:t>: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48</xdr:row>
      <xdr:rowOff>171450</xdr:rowOff>
    </xdr:from>
    <xdr:to>
      <xdr:col>2</xdr:col>
      <xdr:colOff>4535</xdr:colOff>
      <xdr:row>50</xdr:row>
      <xdr:rowOff>39007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5F7C8C46-1F69-4B22-BD45-626015C246C9}"/>
            </a:ext>
          </a:extLst>
        </xdr:cNvPr>
        <xdr:cNvSpPr/>
      </xdr:nvSpPr>
      <xdr:spPr>
        <a:xfrm>
          <a:off x="190500" y="9175750"/>
          <a:ext cx="1541235" cy="248557"/>
        </a:xfrm>
        <a:prstGeom prst="round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tint val="66000"/>
                <a:satMod val="160000"/>
              </a:schemeClr>
            </a:gs>
            <a:gs pos="50000">
              <a:schemeClr val="tx1">
                <a:lumMod val="65000"/>
                <a:lumOff val="35000"/>
                <a:tint val="44500"/>
                <a:satMod val="160000"/>
              </a:schemeClr>
            </a:gs>
            <a:gs pos="100000">
              <a:schemeClr val="tx1">
                <a:lumMod val="65000"/>
                <a:lumOff val="35000"/>
                <a:tint val="23500"/>
                <a:satMod val="160000"/>
              </a:schemeClr>
            </a:gs>
          </a:gsLst>
          <a:lin ang="2700000" scaled="1"/>
          <a:tileRect/>
        </a:gradFill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Date de fin </a:t>
          </a:r>
          <a:r>
            <a:rPr lang="fr-FR" sz="1100" b="1" baseline="0">
              <a:solidFill>
                <a:sysClr val="windowText" lastClr="000000"/>
              </a:solidFill>
            </a:rPr>
            <a:t>: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0</xdr:colOff>
      <xdr:row>44</xdr:row>
      <xdr:rowOff>171450</xdr:rowOff>
    </xdr:from>
    <xdr:to>
      <xdr:col>4</xdr:col>
      <xdr:colOff>4535</xdr:colOff>
      <xdr:row>46</xdr:row>
      <xdr:rowOff>39007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62B4333-CC24-481D-88CB-1DC8A707A1E1}"/>
            </a:ext>
          </a:extLst>
        </xdr:cNvPr>
        <xdr:cNvSpPr/>
      </xdr:nvSpPr>
      <xdr:spPr>
        <a:xfrm>
          <a:off x="1924050" y="8426450"/>
          <a:ext cx="1541235" cy="235857"/>
        </a:xfrm>
        <a:prstGeom prst="round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tint val="66000"/>
                <a:satMod val="160000"/>
              </a:schemeClr>
            </a:gs>
            <a:gs pos="50000">
              <a:schemeClr val="tx1">
                <a:lumMod val="65000"/>
                <a:lumOff val="35000"/>
                <a:tint val="44500"/>
                <a:satMod val="160000"/>
              </a:schemeClr>
            </a:gs>
            <a:gs pos="100000">
              <a:schemeClr val="tx1">
                <a:lumMod val="65000"/>
                <a:lumOff val="35000"/>
                <a:tint val="23500"/>
                <a:satMod val="160000"/>
              </a:schemeClr>
            </a:gs>
          </a:gsLst>
          <a:lin ang="2700000" scaled="1"/>
          <a:tileRect/>
        </a:gradFill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Mois</a:t>
          </a:r>
        </a:p>
      </xdr:txBody>
    </xdr:sp>
    <xdr:clientData/>
  </xdr:twoCellAnchor>
  <xdr:twoCellAnchor>
    <xdr:from>
      <xdr:col>5</xdr:col>
      <xdr:colOff>0</xdr:colOff>
      <xdr:row>44</xdr:row>
      <xdr:rowOff>171450</xdr:rowOff>
    </xdr:from>
    <xdr:to>
      <xdr:col>6</xdr:col>
      <xdr:colOff>4535</xdr:colOff>
      <xdr:row>46</xdr:row>
      <xdr:rowOff>39007</xdr:rowOff>
    </xdr:to>
    <xdr:sp macro="" textlink="">
      <xdr:nvSpPr>
        <xdr:cNvPr id="19" name="Rectangle : coins arrondis 18">
          <a:extLst>
            <a:ext uri="{FF2B5EF4-FFF2-40B4-BE49-F238E27FC236}">
              <a16:creationId xmlns:a16="http://schemas.microsoft.com/office/drawing/2014/main" id="{420BF4AE-B703-41F3-BA37-604967617190}"/>
            </a:ext>
          </a:extLst>
        </xdr:cNvPr>
        <xdr:cNvSpPr/>
      </xdr:nvSpPr>
      <xdr:spPr>
        <a:xfrm>
          <a:off x="3657600" y="8426450"/>
          <a:ext cx="1541235" cy="235857"/>
        </a:xfrm>
        <a:prstGeom prst="round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tint val="66000"/>
                <a:satMod val="160000"/>
              </a:schemeClr>
            </a:gs>
            <a:gs pos="50000">
              <a:schemeClr val="tx1">
                <a:lumMod val="65000"/>
                <a:lumOff val="35000"/>
                <a:tint val="44500"/>
                <a:satMod val="160000"/>
              </a:schemeClr>
            </a:gs>
            <a:gs pos="100000">
              <a:schemeClr val="tx1">
                <a:lumMod val="65000"/>
                <a:lumOff val="35000"/>
                <a:tint val="23500"/>
                <a:satMod val="160000"/>
              </a:schemeClr>
            </a:gs>
          </a:gsLst>
          <a:lin ang="8100000" scaled="1"/>
          <a:tileRect/>
        </a:gradFill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Année</a:t>
          </a:r>
        </a:p>
      </xdr:txBody>
    </xdr:sp>
    <xdr:clientData/>
  </xdr:twoCellAnchor>
  <xdr:twoCellAnchor editAs="oneCell">
    <xdr:from>
      <xdr:col>6</xdr:col>
      <xdr:colOff>81636</xdr:colOff>
      <xdr:row>45</xdr:row>
      <xdr:rowOff>28121</xdr:rowOff>
    </xdr:from>
    <xdr:to>
      <xdr:col>7</xdr:col>
      <xdr:colOff>53514</xdr:colOff>
      <xdr:row>46</xdr:row>
      <xdr:rowOff>29708</xdr:rowOff>
    </xdr:to>
    <xdr:pic macro="[0]!Image19_Cliquer">
      <xdr:nvPicPr>
        <xdr:cNvPr id="20" name="Image 19">
          <a:extLst>
            <a:ext uri="{FF2B5EF4-FFF2-40B4-BE49-F238E27FC236}">
              <a16:creationId xmlns:a16="http://schemas.microsoft.com/office/drawing/2014/main" id="{C9350FE4-971B-4818-8395-3959CCC1B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0493" y="3266621"/>
          <a:ext cx="171450" cy="183016"/>
        </a:xfrm>
        <a:prstGeom prst="rect">
          <a:avLst/>
        </a:prstGeom>
      </xdr:spPr>
    </xdr:pic>
    <xdr:clientData fPrintsWithSheet="0"/>
  </xdr:twoCellAnchor>
  <xdr:twoCellAnchor>
    <xdr:from>
      <xdr:col>7</xdr:col>
      <xdr:colOff>702277</xdr:colOff>
      <xdr:row>53</xdr:row>
      <xdr:rowOff>110748</xdr:rowOff>
    </xdr:from>
    <xdr:to>
      <xdr:col>9</xdr:col>
      <xdr:colOff>56695</xdr:colOff>
      <xdr:row>54</xdr:row>
      <xdr:rowOff>158372</xdr:rowOff>
    </xdr:to>
    <xdr:sp macro="[0]!Information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5579432B-63ED-4802-AB74-1FED3917E853}"/>
            </a:ext>
          </a:extLst>
        </xdr:cNvPr>
        <xdr:cNvSpPr/>
      </xdr:nvSpPr>
      <xdr:spPr>
        <a:xfrm>
          <a:off x="6090706" y="4800677"/>
          <a:ext cx="1077989" cy="2290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 i="1" u="sng">
              <a:solidFill>
                <a:sysClr val="windowText" lastClr="000000"/>
              </a:solidFill>
            </a:rPr>
            <a:t>Informations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6350</xdr:colOff>
      <xdr:row>0</xdr:row>
      <xdr:rowOff>12700</xdr:rowOff>
    </xdr:from>
    <xdr:to>
      <xdr:col>5</xdr:col>
      <xdr:colOff>755650</xdr:colOff>
      <xdr:row>2</xdr:row>
      <xdr:rowOff>0</xdr:rowOff>
    </xdr:to>
    <xdr:sp macro="[0]!Retour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781CBE5-626C-4287-9C5C-8104E90585E3}"/>
            </a:ext>
          </a:extLst>
        </xdr:cNvPr>
        <xdr:cNvSpPr/>
      </xdr:nvSpPr>
      <xdr:spPr>
        <a:xfrm>
          <a:off x="2292350" y="12700"/>
          <a:ext cx="2273300" cy="355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Retour à la page</a:t>
          </a:r>
          <a:r>
            <a:rPr lang="fr-FR" sz="1100" b="1" baseline="0"/>
            <a:t> principale</a:t>
          </a:r>
          <a:endParaRPr lang="fr-FR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AA9C7E-7901-4C0B-A9FB-A975FA172BF9}" name="Tableau1" displayName="Tableau1" ref="A1:E77" totalsRowShown="0" headerRowDxfId="6" dataDxfId="5">
  <autoFilter ref="A1:E77" xr:uid="{9225C942-6565-4B5D-BD32-CF2A349D1FE4}"/>
  <tableColumns count="5">
    <tableColumn id="6" xr3:uid="{3DDEF324-BD1E-4DF0-A621-9A114BB3433A}" name="Famille" dataDxfId="4"/>
    <tableColumn id="1" xr3:uid="{70263352-E904-46B9-83D3-AE5119E63498}" name="Raccourci" dataDxfId="3"/>
    <tableColumn id="2" xr3:uid="{BD9D3D03-45DD-4C7C-8562-8374C5B722B4}" name="NomComplet" dataDxfId="2"/>
    <tableColumn id="3" xr3:uid="{F4C3C1DD-B798-4FD4-8D53-D2A51A23CAAD}" name="Affichage" dataDxfId="1">
      <calculatedColumnFormula>B2 &amp; " (" &amp; C2 &amp; ")"</calculatedColumnFormula>
    </tableColumn>
    <tableColumn id="4" xr3:uid="{B6B6189F-0257-41E1-8EBC-CD6AFFB1025A}" name="CodeINSE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230E5-39A0-405D-8BFB-E669CEA9F994}">
  <sheetPr codeName="Feuil1"/>
  <dimension ref="A1:X121"/>
  <sheetViews>
    <sheetView tabSelected="1" zoomScale="70" zoomScaleNormal="70" workbookViewId="0"/>
  </sheetViews>
  <sheetFormatPr baseColWidth="10" defaultRowHeight="14.5" x14ac:dyDescent="0.35"/>
  <cols>
    <col min="1" max="1" width="2.7265625" customWidth="1"/>
    <col min="2" max="2" width="22" customWidth="1"/>
    <col min="3" max="3" width="2.81640625" customWidth="1"/>
    <col min="4" max="4" width="22" customWidth="1"/>
    <col min="5" max="5" width="2.81640625" customWidth="1"/>
    <col min="6" max="6" width="22" customWidth="1"/>
    <col min="7" max="7" width="2.81640625" customWidth="1"/>
    <col min="8" max="8" width="22" customWidth="1"/>
    <col min="9" max="9" width="2.7265625" customWidth="1"/>
  </cols>
  <sheetData>
    <row r="1" spans="1:24" x14ac:dyDescent="0.35">
      <c r="A1" s="10"/>
      <c r="B1" s="11"/>
      <c r="C1" s="11"/>
      <c r="D1" s="11"/>
      <c r="E1" s="11"/>
      <c r="F1" s="11"/>
      <c r="G1" s="11"/>
      <c r="H1" s="11"/>
      <c r="I1" s="12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</row>
    <row r="2" spans="1:24" ht="26.5" customHeight="1" x14ac:dyDescent="0.35">
      <c r="A2" s="13"/>
      <c r="B2" s="30"/>
      <c r="C2" s="30"/>
      <c r="D2" s="30"/>
      <c r="E2" s="30"/>
      <c r="F2" s="30"/>
      <c r="G2" s="30"/>
      <c r="H2" s="30"/>
      <c r="I2" s="1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</row>
    <row r="3" spans="1:24" x14ac:dyDescent="0.35">
      <c r="A3" s="13"/>
      <c r="B3" s="32"/>
      <c r="C3" s="32"/>
      <c r="D3" s="32"/>
      <c r="E3" s="32"/>
      <c r="F3" s="32"/>
      <c r="G3" s="32"/>
      <c r="H3" s="32"/>
      <c r="I3" s="14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</row>
    <row r="4" spans="1:24" x14ac:dyDescent="0.35">
      <c r="A4" s="13"/>
      <c r="B4" s="3"/>
      <c r="C4" s="9"/>
      <c r="D4" s="9"/>
      <c r="E4" s="9"/>
      <c r="F4" s="9"/>
      <c r="G4" s="9"/>
      <c r="H4" s="9"/>
      <c r="I4" s="14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</row>
    <row r="5" spans="1:24" x14ac:dyDescent="0.35">
      <c r="A5" s="13"/>
      <c r="B5" s="3"/>
      <c r="C5" s="3"/>
      <c r="D5" s="3"/>
      <c r="E5" s="3"/>
      <c r="F5" s="3"/>
      <c r="G5" s="3"/>
      <c r="H5" s="3"/>
      <c r="I5" s="14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</row>
    <row r="6" spans="1:24" x14ac:dyDescent="0.35">
      <c r="A6" s="13"/>
      <c r="B6" s="31"/>
      <c r="C6" s="31"/>
      <c r="D6" s="31"/>
      <c r="E6" s="31"/>
      <c r="F6" s="31"/>
      <c r="G6" s="31"/>
      <c r="H6" s="31"/>
      <c r="I6" s="14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</row>
    <row r="7" spans="1:24" x14ac:dyDescent="0.35">
      <c r="A7" s="13"/>
      <c r="B7" s="8"/>
      <c r="C7" s="8"/>
      <c r="D7" s="8"/>
      <c r="E7" s="8"/>
      <c r="F7" s="8"/>
      <c r="G7" s="8"/>
      <c r="H7" s="8"/>
      <c r="I7" s="14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</row>
    <row r="8" spans="1:24" x14ac:dyDescent="0.35">
      <c r="A8" s="13"/>
      <c r="B8" s="3"/>
      <c r="C8" s="9"/>
      <c r="D8" s="9"/>
      <c r="E8" s="9"/>
      <c r="F8" s="9"/>
      <c r="G8" s="9"/>
      <c r="H8" s="9"/>
      <c r="I8" s="14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</row>
    <row r="9" spans="1:24" x14ac:dyDescent="0.35">
      <c r="A9" s="13"/>
      <c r="B9" s="8"/>
      <c r="C9" s="8"/>
      <c r="D9" s="8"/>
      <c r="E9" s="8"/>
      <c r="F9" s="8"/>
      <c r="G9" s="8"/>
      <c r="H9" s="8"/>
      <c r="I9" s="14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</row>
    <row r="10" spans="1:24" x14ac:dyDescent="0.35">
      <c r="A10" s="13"/>
      <c r="B10" s="31"/>
      <c r="C10" s="31"/>
      <c r="D10" s="31"/>
      <c r="E10" s="31"/>
      <c r="F10" s="31"/>
      <c r="G10" s="31"/>
      <c r="H10" s="31"/>
      <c r="I10" s="14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</row>
    <row r="11" spans="1:24" x14ac:dyDescent="0.35">
      <c r="A11" s="13"/>
      <c r="B11" s="8"/>
      <c r="C11" s="8"/>
      <c r="D11" s="8"/>
      <c r="E11" s="8"/>
      <c r="F11" s="8"/>
      <c r="G11" s="8"/>
      <c r="H11" s="8"/>
      <c r="I11" s="14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</row>
    <row r="12" spans="1:24" x14ac:dyDescent="0.35">
      <c r="A12" s="13"/>
      <c r="B12" s="3"/>
      <c r="C12" s="8"/>
      <c r="D12" s="8"/>
      <c r="E12" s="8"/>
      <c r="F12" s="8"/>
      <c r="G12" s="8"/>
      <c r="H12" s="8"/>
      <c r="I12" s="14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</row>
    <row r="13" spans="1:24" x14ac:dyDescent="0.35">
      <c r="A13" s="13"/>
      <c r="B13" s="8"/>
      <c r="C13" s="8"/>
      <c r="D13" s="8"/>
      <c r="E13" s="8"/>
      <c r="F13" s="8"/>
      <c r="G13" s="8"/>
      <c r="H13" s="8"/>
      <c r="I13" s="14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</row>
    <row r="14" spans="1:24" x14ac:dyDescent="0.35">
      <c r="A14" s="13"/>
      <c r="B14" s="31"/>
      <c r="C14" s="31"/>
      <c r="D14" s="31"/>
      <c r="E14" s="31"/>
      <c r="F14" s="31"/>
      <c r="G14" s="31"/>
      <c r="H14" s="31"/>
      <c r="I14" s="14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</row>
    <row r="15" spans="1:24" hidden="1" x14ac:dyDescent="0.35">
      <c r="A15" s="13"/>
      <c r="B15" s="8"/>
      <c r="C15" s="8"/>
      <c r="D15" s="8"/>
      <c r="E15" s="8"/>
      <c r="F15" s="8"/>
      <c r="G15" s="8"/>
      <c r="H15" s="8"/>
      <c r="I15" s="14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</row>
    <row r="16" spans="1:24" hidden="1" x14ac:dyDescent="0.35">
      <c r="A16" s="13"/>
      <c r="B16" s="3"/>
      <c r="C16" s="8"/>
      <c r="D16" s="8"/>
      <c r="E16" s="8"/>
      <c r="F16" s="8"/>
      <c r="G16" s="8"/>
      <c r="H16" s="8"/>
      <c r="I16" s="14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</row>
    <row r="17" spans="1:24" hidden="1" x14ac:dyDescent="0.35">
      <c r="A17" s="13"/>
      <c r="B17" s="8"/>
      <c r="C17" s="8"/>
      <c r="D17" s="8"/>
      <c r="E17" s="8"/>
      <c r="F17" s="8"/>
      <c r="G17" s="8"/>
      <c r="H17" s="8"/>
      <c r="I17" s="14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</row>
    <row r="18" spans="1:24" hidden="1" x14ac:dyDescent="0.35">
      <c r="A18" s="13"/>
      <c r="B18" s="31"/>
      <c r="C18" s="31"/>
      <c r="D18" s="31"/>
      <c r="E18" s="31"/>
      <c r="F18" s="31"/>
      <c r="G18" s="31"/>
      <c r="H18" s="31"/>
      <c r="I18" s="14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</row>
    <row r="19" spans="1:24" hidden="1" x14ac:dyDescent="0.35">
      <c r="A19" s="13"/>
      <c r="B19" s="8"/>
      <c r="C19" s="8"/>
      <c r="D19" s="8"/>
      <c r="E19" s="8"/>
      <c r="F19" s="8"/>
      <c r="G19" s="8"/>
      <c r="H19" s="8"/>
      <c r="I19" s="14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</row>
    <row r="20" spans="1:24" hidden="1" x14ac:dyDescent="0.35">
      <c r="A20" s="13"/>
      <c r="B20" s="3"/>
      <c r="C20" s="8"/>
      <c r="D20" s="8"/>
      <c r="E20" s="8"/>
      <c r="F20" s="8"/>
      <c r="G20" s="8"/>
      <c r="H20" s="8"/>
      <c r="I20" s="14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</row>
    <row r="21" spans="1:24" hidden="1" x14ac:dyDescent="0.35">
      <c r="A21" s="13"/>
      <c r="B21" s="8"/>
      <c r="C21" s="8"/>
      <c r="D21" s="8"/>
      <c r="E21" s="8"/>
      <c r="F21" s="8"/>
      <c r="G21" s="8"/>
      <c r="H21" s="8"/>
      <c r="I21" s="14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</row>
    <row r="22" spans="1:24" hidden="1" x14ac:dyDescent="0.35">
      <c r="A22" s="13"/>
      <c r="B22" s="31"/>
      <c r="C22" s="31"/>
      <c r="D22" s="31"/>
      <c r="E22" s="31"/>
      <c r="F22" s="31"/>
      <c r="G22" s="31"/>
      <c r="H22" s="31"/>
      <c r="I22" s="14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</row>
    <row r="23" spans="1:24" hidden="1" x14ac:dyDescent="0.35">
      <c r="A23" s="13"/>
      <c r="B23" s="8"/>
      <c r="C23" s="8"/>
      <c r="D23" s="8"/>
      <c r="E23" s="8"/>
      <c r="F23" s="8"/>
      <c r="G23" s="8"/>
      <c r="H23" s="8"/>
      <c r="I23" s="14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</row>
    <row r="24" spans="1:24" hidden="1" x14ac:dyDescent="0.35">
      <c r="A24" s="13"/>
      <c r="B24" s="3"/>
      <c r="C24" s="8"/>
      <c r="D24" s="8"/>
      <c r="E24" s="8"/>
      <c r="F24" s="8"/>
      <c r="G24" s="8"/>
      <c r="H24" s="8"/>
      <c r="I24" s="14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</row>
    <row r="25" spans="1:24" hidden="1" x14ac:dyDescent="0.35">
      <c r="A25" s="13"/>
      <c r="B25" s="8"/>
      <c r="C25" s="8"/>
      <c r="D25" s="8"/>
      <c r="E25" s="8"/>
      <c r="F25" s="8"/>
      <c r="G25" s="8"/>
      <c r="H25" s="8"/>
      <c r="I25" s="14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</row>
    <row r="26" spans="1:24" hidden="1" x14ac:dyDescent="0.35">
      <c r="A26" s="13"/>
      <c r="B26" s="31"/>
      <c r="C26" s="31"/>
      <c r="D26" s="31"/>
      <c r="E26" s="31"/>
      <c r="F26" s="31"/>
      <c r="G26" s="31"/>
      <c r="H26" s="31"/>
      <c r="I26" s="14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</row>
    <row r="27" spans="1:24" hidden="1" x14ac:dyDescent="0.35">
      <c r="A27" s="13"/>
      <c r="B27" s="8"/>
      <c r="C27" s="8"/>
      <c r="D27" s="8"/>
      <c r="E27" s="8"/>
      <c r="F27" s="8"/>
      <c r="G27" s="8"/>
      <c r="H27" s="8"/>
      <c r="I27" s="14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</row>
    <row r="28" spans="1:24" hidden="1" x14ac:dyDescent="0.35">
      <c r="A28" s="13"/>
      <c r="B28" s="3"/>
      <c r="C28" s="8"/>
      <c r="D28" s="8"/>
      <c r="E28" s="8"/>
      <c r="F28" s="8"/>
      <c r="G28" s="8"/>
      <c r="H28" s="8"/>
      <c r="I28" s="14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</row>
    <row r="29" spans="1:24" hidden="1" x14ac:dyDescent="0.35">
      <c r="A29" s="13"/>
      <c r="B29" s="8"/>
      <c r="C29" s="8"/>
      <c r="D29" s="8"/>
      <c r="E29" s="8"/>
      <c r="F29" s="8"/>
      <c r="G29" s="8"/>
      <c r="H29" s="8"/>
      <c r="I29" s="14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</row>
    <row r="30" spans="1:24" hidden="1" x14ac:dyDescent="0.35">
      <c r="A30" s="13"/>
      <c r="B30" s="31"/>
      <c r="C30" s="31"/>
      <c r="D30" s="31"/>
      <c r="E30" s="31"/>
      <c r="F30" s="31"/>
      <c r="G30" s="31"/>
      <c r="H30" s="31"/>
      <c r="I30" s="14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</row>
    <row r="31" spans="1:24" hidden="1" x14ac:dyDescent="0.35">
      <c r="A31" s="13"/>
      <c r="B31" s="8"/>
      <c r="C31" s="8"/>
      <c r="D31" s="8"/>
      <c r="E31" s="8"/>
      <c r="F31" s="8"/>
      <c r="G31" s="8"/>
      <c r="H31" s="8"/>
      <c r="I31" s="14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</row>
    <row r="32" spans="1:24" hidden="1" x14ac:dyDescent="0.35">
      <c r="A32" s="13"/>
      <c r="B32" s="3"/>
      <c r="C32" s="8"/>
      <c r="D32" s="8"/>
      <c r="E32" s="8"/>
      <c r="F32" s="8"/>
      <c r="G32" s="8"/>
      <c r="H32" s="8"/>
      <c r="I32" s="14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</row>
    <row r="33" spans="1:24" hidden="1" x14ac:dyDescent="0.35">
      <c r="A33" s="13"/>
      <c r="B33" s="8"/>
      <c r="C33" s="8"/>
      <c r="D33" s="8"/>
      <c r="E33" s="8"/>
      <c r="F33" s="8"/>
      <c r="G33" s="8"/>
      <c r="H33" s="8"/>
      <c r="I33" s="14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</row>
    <row r="34" spans="1:24" hidden="1" x14ac:dyDescent="0.35">
      <c r="A34" s="13"/>
      <c r="B34" s="31"/>
      <c r="C34" s="31"/>
      <c r="D34" s="31"/>
      <c r="E34" s="31"/>
      <c r="F34" s="31"/>
      <c r="G34" s="31"/>
      <c r="H34" s="31"/>
      <c r="I34" s="14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</row>
    <row r="35" spans="1:24" hidden="1" x14ac:dyDescent="0.35">
      <c r="A35" s="13"/>
      <c r="B35" s="8"/>
      <c r="C35" s="8"/>
      <c r="D35" s="8"/>
      <c r="E35" s="8"/>
      <c r="F35" s="8"/>
      <c r="G35" s="8"/>
      <c r="H35" s="8"/>
      <c r="I35" s="14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</row>
    <row r="36" spans="1:24" hidden="1" x14ac:dyDescent="0.35">
      <c r="A36" s="13"/>
      <c r="B36" s="3"/>
      <c r="C36" s="8"/>
      <c r="D36" s="8"/>
      <c r="E36" s="8"/>
      <c r="F36" s="8"/>
      <c r="G36" s="8"/>
      <c r="H36" s="8"/>
      <c r="I36" s="14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</row>
    <row r="37" spans="1:24" hidden="1" x14ac:dyDescent="0.35">
      <c r="A37" s="13"/>
      <c r="B37" s="8"/>
      <c r="C37" s="8"/>
      <c r="D37" s="8"/>
      <c r="E37" s="8"/>
      <c r="F37" s="8"/>
      <c r="G37" s="8"/>
      <c r="H37" s="8"/>
      <c r="I37" s="14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</row>
    <row r="38" spans="1:24" hidden="1" x14ac:dyDescent="0.35">
      <c r="A38" s="13"/>
      <c r="B38" s="31"/>
      <c r="C38" s="31"/>
      <c r="D38" s="31"/>
      <c r="E38" s="31"/>
      <c r="F38" s="31"/>
      <c r="G38" s="31"/>
      <c r="H38" s="31"/>
      <c r="I38" s="14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</row>
    <row r="39" spans="1:24" hidden="1" x14ac:dyDescent="0.35">
      <c r="A39" s="13"/>
      <c r="B39" s="8"/>
      <c r="C39" s="8"/>
      <c r="D39" s="8"/>
      <c r="E39" s="8"/>
      <c r="F39" s="8"/>
      <c r="G39" s="8"/>
      <c r="H39" s="8"/>
      <c r="I39" s="14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</row>
    <row r="40" spans="1:24" hidden="1" x14ac:dyDescent="0.35">
      <c r="A40" s="13"/>
      <c r="B40" s="3"/>
      <c r="C40" s="8"/>
      <c r="D40" s="8"/>
      <c r="E40" s="8"/>
      <c r="F40" s="8"/>
      <c r="G40" s="8"/>
      <c r="H40" s="8"/>
      <c r="I40" s="14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</row>
    <row r="41" spans="1:24" hidden="1" x14ac:dyDescent="0.35">
      <c r="A41" s="13"/>
      <c r="B41" s="8"/>
      <c r="C41" s="8"/>
      <c r="D41" s="8"/>
      <c r="E41" s="8"/>
      <c r="F41" s="8"/>
      <c r="G41" s="8"/>
      <c r="H41" s="8"/>
      <c r="I41" s="14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</row>
    <row r="42" spans="1:24" hidden="1" x14ac:dyDescent="0.35">
      <c r="A42" s="13"/>
      <c r="B42" s="31"/>
      <c r="C42" s="31"/>
      <c r="D42" s="31"/>
      <c r="E42" s="31"/>
      <c r="F42" s="31"/>
      <c r="G42" s="31"/>
      <c r="H42" s="31"/>
      <c r="I42" s="14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</row>
    <row r="43" spans="1:24" x14ac:dyDescent="0.35">
      <c r="A43" s="13"/>
      <c r="B43" s="8"/>
      <c r="C43" s="8"/>
      <c r="D43" s="8"/>
      <c r="E43" s="8"/>
      <c r="F43" s="8"/>
      <c r="G43" s="8"/>
      <c r="H43" s="8"/>
      <c r="I43" s="14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</row>
    <row r="44" spans="1:24" x14ac:dyDescent="0.35">
      <c r="A44" s="13"/>
      <c r="B44" s="33"/>
      <c r="C44" s="33"/>
      <c r="D44" s="33"/>
      <c r="E44" s="33"/>
      <c r="F44" s="33"/>
      <c r="G44" s="33"/>
      <c r="H44" s="33"/>
      <c r="I44" s="14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</row>
    <row r="45" spans="1:24" x14ac:dyDescent="0.35">
      <c r="A45" s="13"/>
      <c r="B45" s="8"/>
      <c r="C45" s="8"/>
      <c r="D45" s="8"/>
      <c r="E45" s="8"/>
      <c r="F45" s="8"/>
      <c r="G45" s="8"/>
      <c r="H45" s="8"/>
      <c r="I45" s="14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</row>
    <row r="46" spans="1:24" x14ac:dyDescent="0.35">
      <c r="A46" s="13"/>
      <c r="B46" s="15"/>
      <c r="C46" s="8"/>
      <c r="D46" s="27"/>
      <c r="E46" s="8"/>
      <c r="F46" s="27"/>
      <c r="G46" s="8"/>
      <c r="H46" s="8"/>
      <c r="I46" s="14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</row>
    <row r="47" spans="1:24" x14ac:dyDescent="0.35">
      <c r="A47" s="13"/>
      <c r="B47" s="16"/>
      <c r="C47" s="16"/>
      <c r="D47" s="16"/>
      <c r="E47" s="16"/>
      <c r="F47" s="16"/>
      <c r="G47" s="16"/>
      <c r="H47" s="16"/>
      <c r="I47" s="14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</row>
    <row r="48" spans="1:24" x14ac:dyDescent="0.35">
      <c r="A48" s="13"/>
      <c r="B48" s="3"/>
      <c r="C48" s="17"/>
      <c r="D48" s="29"/>
      <c r="E48" s="18" t="s">
        <v>159</v>
      </c>
      <c r="F48" s="28"/>
      <c r="G48" s="19"/>
      <c r="H48" s="20"/>
      <c r="I48" s="14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</row>
    <row r="49" spans="1:24" x14ac:dyDescent="0.35">
      <c r="A49" s="13"/>
      <c r="B49" s="21"/>
      <c r="C49" s="17"/>
      <c r="D49" s="18"/>
      <c r="E49" s="18"/>
      <c r="F49" s="18"/>
      <c r="G49" s="19"/>
      <c r="H49" s="20"/>
      <c r="I49" s="14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</row>
    <row r="50" spans="1:24" x14ac:dyDescent="0.35">
      <c r="A50" s="13"/>
      <c r="B50" s="3"/>
      <c r="C50" s="17"/>
      <c r="D50" s="29"/>
      <c r="E50" s="18" t="s">
        <v>159</v>
      </c>
      <c r="F50" s="28"/>
      <c r="G50" s="19"/>
      <c r="H50" s="20"/>
      <c r="I50" s="14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x14ac:dyDescent="0.35">
      <c r="A51" s="13"/>
      <c r="B51" s="21"/>
      <c r="C51" s="17"/>
      <c r="D51" s="19"/>
      <c r="E51" s="19"/>
      <c r="F51" s="19"/>
      <c r="G51" s="19"/>
      <c r="H51" s="20"/>
      <c r="I51" s="14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x14ac:dyDescent="0.35">
      <c r="A52" s="13"/>
      <c r="B52" s="20"/>
      <c r="C52" s="20"/>
      <c r="D52" s="20"/>
      <c r="E52" s="20"/>
      <c r="F52" s="20"/>
      <c r="G52" s="20"/>
      <c r="H52" s="20"/>
      <c r="I52" s="14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</row>
    <row r="53" spans="1:24" x14ac:dyDescent="0.35">
      <c r="A53" s="13"/>
      <c r="B53" s="20"/>
      <c r="C53" s="20"/>
      <c r="D53" s="20"/>
      <c r="E53" s="20"/>
      <c r="F53" s="20"/>
      <c r="G53" s="20"/>
      <c r="H53" s="20"/>
      <c r="I53" s="14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</row>
    <row r="54" spans="1:24" x14ac:dyDescent="0.35">
      <c r="A54" s="13"/>
      <c r="B54" s="20"/>
      <c r="C54" s="20"/>
      <c r="D54" s="20"/>
      <c r="E54" s="20"/>
      <c r="F54" s="20"/>
      <c r="G54" s="20"/>
      <c r="H54" s="20"/>
      <c r="I54" s="14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</row>
    <row r="55" spans="1:24" ht="15" thickBot="1" x14ac:dyDescent="0.4">
      <c r="A55" s="22"/>
      <c r="B55" s="23"/>
      <c r="C55" s="23"/>
      <c r="D55" s="23"/>
      <c r="E55" s="23"/>
      <c r="F55" s="23"/>
      <c r="G55" s="23"/>
      <c r="H55" s="23"/>
      <c r="I55" s="24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</row>
    <row r="56" spans="1:24" x14ac:dyDescent="0.3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</row>
    <row r="57" spans="1:24" x14ac:dyDescent="0.3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</row>
    <row r="58" spans="1:24" x14ac:dyDescent="0.35">
      <c r="A58" s="25"/>
      <c r="B58" s="25"/>
      <c r="C58" s="25"/>
      <c r="D58" s="26"/>
      <c r="E58" s="26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</row>
    <row r="59" spans="1:24" x14ac:dyDescent="0.3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</row>
    <row r="60" spans="1:24" x14ac:dyDescent="0.3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</row>
    <row r="61" spans="1:24" x14ac:dyDescent="0.3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</row>
    <row r="62" spans="1:24" x14ac:dyDescent="0.3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</row>
    <row r="63" spans="1:24" x14ac:dyDescent="0.3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</row>
    <row r="64" spans="1:24" x14ac:dyDescent="0.35">
      <c r="A64" s="25"/>
      <c r="B64" s="25"/>
      <c r="C64" s="25"/>
      <c r="D64" s="25"/>
      <c r="E64" s="25"/>
      <c r="F64" s="26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</row>
    <row r="65" spans="1:24" x14ac:dyDescent="0.3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</row>
    <row r="66" spans="1:24" x14ac:dyDescent="0.3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</row>
    <row r="67" spans="1:24" x14ac:dyDescent="0.3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</row>
    <row r="68" spans="1:24" x14ac:dyDescent="0.3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</row>
    <row r="69" spans="1:24" x14ac:dyDescent="0.3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</row>
    <row r="70" spans="1:24" x14ac:dyDescent="0.35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</row>
    <row r="71" spans="1:24" x14ac:dyDescent="0.3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</row>
    <row r="72" spans="1:24" x14ac:dyDescent="0.35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</row>
    <row r="73" spans="1:24" x14ac:dyDescent="0.35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</row>
    <row r="74" spans="1:24" x14ac:dyDescent="0.35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</row>
    <row r="75" spans="1:24" x14ac:dyDescent="0.35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</row>
    <row r="76" spans="1:24" x14ac:dyDescent="0.35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</row>
    <row r="77" spans="1:24" x14ac:dyDescent="0.35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</row>
    <row r="78" spans="1:24" x14ac:dyDescent="0.3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</row>
    <row r="79" spans="1:24" x14ac:dyDescent="0.3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</row>
    <row r="80" spans="1:24" x14ac:dyDescent="0.3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</row>
    <row r="81" spans="1:24" x14ac:dyDescent="0.3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</row>
    <row r="82" spans="1:24" x14ac:dyDescent="0.3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</row>
    <row r="83" spans="1:24" x14ac:dyDescent="0.3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</row>
    <row r="84" spans="1:24" x14ac:dyDescent="0.3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</row>
    <row r="85" spans="1:24" x14ac:dyDescent="0.3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</row>
    <row r="86" spans="1:24" x14ac:dyDescent="0.3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</row>
    <row r="87" spans="1:24" x14ac:dyDescent="0.3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</row>
    <row r="88" spans="1:24" x14ac:dyDescent="0.3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</row>
    <row r="89" spans="1:24" x14ac:dyDescent="0.3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</row>
    <row r="90" spans="1:24" x14ac:dyDescent="0.3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</row>
    <row r="91" spans="1:24" x14ac:dyDescent="0.3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</row>
    <row r="92" spans="1:24" x14ac:dyDescent="0.3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</row>
    <row r="93" spans="1:24" x14ac:dyDescent="0.3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</row>
    <row r="94" spans="1:24" x14ac:dyDescent="0.3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</row>
    <row r="95" spans="1:24" x14ac:dyDescent="0.3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</row>
    <row r="96" spans="1:24" x14ac:dyDescent="0.3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</row>
    <row r="97" spans="1:24" x14ac:dyDescent="0.3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</row>
    <row r="98" spans="1:24" x14ac:dyDescent="0.3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</row>
    <row r="99" spans="1:24" x14ac:dyDescent="0.3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</row>
    <row r="100" spans="1:24" x14ac:dyDescent="0.3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</row>
    <row r="101" spans="1:24" x14ac:dyDescent="0.3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</row>
    <row r="102" spans="1:24" x14ac:dyDescent="0.3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</row>
    <row r="103" spans="1:24" x14ac:dyDescent="0.3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</row>
    <row r="104" spans="1:24" x14ac:dyDescent="0.3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</row>
    <row r="105" spans="1:24" x14ac:dyDescent="0.3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</row>
    <row r="106" spans="1:24" x14ac:dyDescent="0.3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</row>
    <row r="107" spans="1:24" x14ac:dyDescent="0.3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</row>
    <row r="108" spans="1:24" x14ac:dyDescent="0.3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</row>
    <row r="109" spans="1:24" x14ac:dyDescent="0.3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</row>
    <row r="110" spans="1:24" x14ac:dyDescent="0.3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</row>
    <row r="111" spans="1:24" x14ac:dyDescent="0.3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</row>
    <row r="112" spans="1:24" x14ac:dyDescent="0.3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</row>
    <row r="113" spans="1:24" x14ac:dyDescent="0.3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</row>
    <row r="114" spans="1:24" x14ac:dyDescent="0.3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</row>
    <row r="115" spans="1:24" x14ac:dyDescent="0.3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</row>
    <row r="116" spans="1:24" x14ac:dyDescent="0.3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</row>
    <row r="117" spans="1:24" x14ac:dyDescent="0.3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</row>
    <row r="118" spans="1:24" x14ac:dyDescent="0.3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</row>
    <row r="119" spans="1:24" x14ac:dyDescent="0.3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</row>
    <row r="120" spans="1:24" x14ac:dyDescent="0.3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</row>
    <row r="121" spans="1:24" x14ac:dyDescent="0.3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</row>
  </sheetData>
  <mergeCells count="13">
    <mergeCell ref="B44:H44"/>
    <mergeCell ref="B38:H38"/>
    <mergeCell ref="B42:H42"/>
    <mergeCell ref="B14:H14"/>
    <mergeCell ref="B18:H18"/>
    <mergeCell ref="B22:H22"/>
    <mergeCell ref="B26:H26"/>
    <mergeCell ref="B30:H30"/>
    <mergeCell ref="B2:H2"/>
    <mergeCell ref="B6:H6"/>
    <mergeCell ref="B3:H3"/>
    <mergeCell ref="B10:H10"/>
    <mergeCell ref="B34:H34"/>
  </mergeCells>
  <dataValidations count="3">
    <dataValidation type="list" allowBlank="1" showInputMessage="1" sqref="B6:H6 B10:H10 B14:H14 B18:H18 B22:H22 B26:H26 B30:H30 B34:H34 B38:H38 B42:H42" xr:uid="{144AE0CB-0015-448F-B8A9-93F1F0B2AA15}">
      <formula1>IF(B6&lt;&gt;"",OFFSET(INDIRECT("Tableau1[Affichage]"),MATCH(B6&amp;"*",INDIRECT("Tableau1[Affichage]"),0)-1,,COUNTIF(INDIRECT("Tableau1[Affichage]"),B6&amp;"*"),1),INDIRECT("Tableau1[Affichage]"))</formula1>
    </dataValidation>
    <dataValidation allowBlank="1" showInputMessage="1" sqref="J3:J4 B9:H9 B7:H7 B11 B19 B27 B23 B35 B31 B15 B39 C11:H13 B13 B17 C15:H17 C19:H21 B21 B25 C23:H25 C27:H29 B29 B33 C31:H33 C35:H37 B37 B41 C39:H41 B47:H47 C46:H46 B43:B45 C43:H43 C45:H45" xr:uid="{BEDE2D69-018F-4473-AB6E-EA8A4F70CF13}"/>
    <dataValidation type="list" allowBlank="1" showInputMessage="1" showErrorMessage="1" sqref="D48 D50" xr:uid="{6C0D0954-10D2-4D87-9373-9E98D27CCF26}">
      <formula1>"01,02,03,04,05,06,07,08,09,10,11,12"</formula1>
    </dataValidation>
  </dataValidations>
  <pageMargins left="0.7" right="0.7" top="0.75" bottom="0.75" header="0.3" footer="0.3"/>
  <pageSetup paperSize="9" orientation="landscape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16FC55-794F-4AD9-A1C8-268F59657B8D}">
          <x14:formula1>
            <xm:f>Dates!$A$2:$A$60</xm:f>
          </x14:formula1>
          <xm:sqref>F50 F48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592FA-2FCD-4DF4-B72A-03298AE29934}">
  <sheetPr codeName="Feuil3"/>
  <dimension ref="A1:E77"/>
  <sheetViews>
    <sheetView workbookViewId="0"/>
  </sheetViews>
  <sheetFormatPr baseColWidth="10" defaultRowHeight="14.5" x14ac:dyDescent="0.35"/>
  <cols>
    <col min="2" max="2" width="16.6328125" style="1" customWidth="1"/>
    <col min="3" max="3" width="58.6328125" style="1" bestFit="1" customWidth="1"/>
    <col min="4" max="4" width="65.08984375" style="1" bestFit="1" customWidth="1"/>
    <col min="5" max="5" width="16.6328125" style="1" customWidth="1"/>
  </cols>
  <sheetData>
    <row r="1" spans="1:5" x14ac:dyDescent="0.35">
      <c r="A1" s="2" t="s">
        <v>7</v>
      </c>
      <c r="B1" s="2" t="s">
        <v>0</v>
      </c>
      <c r="C1" s="2" t="s">
        <v>1</v>
      </c>
      <c r="D1" s="2" t="s">
        <v>4</v>
      </c>
      <c r="E1" s="2" t="s">
        <v>2</v>
      </c>
    </row>
    <row r="2" spans="1:5" x14ac:dyDescent="0.35">
      <c r="A2" s="4" t="s">
        <v>51</v>
      </c>
      <c r="B2" s="4" t="s">
        <v>52</v>
      </c>
      <c r="C2" s="4" t="s">
        <v>89</v>
      </c>
      <c r="D2" s="4" t="str">
        <f t="shared" ref="D2:D17" si="0">B2 &amp; " (" &amp; C2 &amp; ")"</f>
        <v>BT01 (Tous corps d'état - Base 2010)</v>
      </c>
      <c r="E2" s="5">
        <v>1710986</v>
      </c>
    </row>
    <row r="3" spans="1:5" x14ac:dyDescent="0.35">
      <c r="A3" s="4" t="s">
        <v>51</v>
      </c>
      <c r="B3" s="4" t="s">
        <v>54</v>
      </c>
      <c r="C3" s="4" t="s">
        <v>90</v>
      </c>
      <c r="D3" s="4" t="str">
        <f t="shared" si="0"/>
        <v>BT02 (Terrassements - Base 2010)</v>
      </c>
      <c r="E3" s="5">
        <v>1710950</v>
      </c>
    </row>
    <row r="4" spans="1:5" x14ac:dyDescent="0.35">
      <c r="A4" s="4" t="s">
        <v>51</v>
      </c>
      <c r="B4" s="4" t="s">
        <v>53</v>
      </c>
      <c r="C4" s="4" t="s">
        <v>91</v>
      </c>
      <c r="D4" s="4" t="str">
        <f t="shared" si="0"/>
        <v>BT03 (Maçonnerie et canalisations en béton (sauf ossature, béton armé, carrelage, revêtement et plâtrerie) - Base 2010)</v>
      </c>
      <c r="E4" s="5">
        <v>1710951</v>
      </c>
    </row>
    <row r="5" spans="1:5" x14ac:dyDescent="0.35">
      <c r="A5" s="4" t="s">
        <v>51</v>
      </c>
      <c r="B5" s="4" t="s">
        <v>55</v>
      </c>
      <c r="C5" s="4" t="s">
        <v>92</v>
      </c>
      <c r="D5" s="4" t="str">
        <f t="shared" si="0"/>
        <v>BT06 (Ossature, ouvrages en béton armé - Base 2010)</v>
      </c>
      <c r="E5" s="5">
        <v>1710952</v>
      </c>
    </row>
    <row r="6" spans="1:5" x14ac:dyDescent="0.35">
      <c r="A6" s="4" t="s">
        <v>51</v>
      </c>
      <c r="B6" s="4" t="s">
        <v>56</v>
      </c>
      <c r="C6" s="4" t="s">
        <v>93</v>
      </c>
      <c r="D6" s="4" t="str">
        <f t="shared" si="0"/>
        <v>BT07 (Ossature et charpentes métalliques - Base 2010)</v>
      </c>
      <c r="E6" s="5">
        <v>1710953</v>
      </c>
    </row>
    <row r="7" spans="1:5" x14ac:dyDescent="0.35">
      <c r="A7" s="4" t="s">
        <v>51</v>
      </c>
      <c r="B7" s="4" t="s">
        <v>57</v>
      </c>
      <c r="C7" s="4" t="s">
        <v>94</v>
      </c>
      <c r="D7" s="4" t="str">
        <f t="shared" si="0"/>
        <v>BT08 (Plâtre et préfabriqués - Base 2010)</v>
      </c>
      <c r="E7" s="5">
        <v>1710954</v>
      </c>
    </row>
    <row r="8" spans="1:5" x14ac:dyDescent="0.35">
      <c r="A8" s="4" t="s">
        <v>51</v>
      </c>
      <c r="B8" s="4" t="s">
        <v>58</v>
      </c>
      <c r="C8" s="4" t="s">
        <v>125</v>
      </c>
      <c r="D8" s="4" t="str">
        <f t="shared" si="0"/>
        <v>BT09 (Carrelage et revêtement céramique - Base 2010)</v>
      </c>
      <c r="E8" s="5">
        <v>1710955</v>
      </c>
    </row>
    <row r="9" spans="1:5" x14ac:dyDescent="0.35">
      <c r="A9" s="4" t="s">
        <v>51</v>
      </c>
      <c r="B9" s="4" t="s">
        <v>59</v>
      </c>
      <c r="C9" s="4" t="s">
        <v>124</v>
      </c>
      <c r="D9" s="4" t="str">
        <f t="shared" si="0"/>
        <v>BT10 (Revêtements en plastique - Base 2010)</v>
      </c>
      <c r="E9" s="5">
        <v>1710956</v>
      </c>
    </row>
    <row r="10" spans="1:5" x14ac:dyDescent="0.35">
      <c r="A10" s="4" t="s">
        <v>51</v>
      </c>
      <c r="B10" s="4" t="s">
        <v>60</v>
      </c>
      <c r="C10" s="4" t="s">
        <v>123</v>
      </c>
      <c r="D10" s="4" t="str">
        <f t="shared" si="0"/>
        <v>BT11 (Revêtements en textiles synthétiques - Base 2010)</v>
      </c>
      <c r="E10" s="5">
        <v>1710957</v>
      </c>
    </row>
    <row r="11" spans="1:5" x14ac:dyDescent="0.35">
      <c r="A11" s="4" t="s">
        <v>51</v>
      </c>
      <c r="B11" s="4" t="s">
        <v>61</v>
      </c>
      <c r="C11" s="4" t="s">
        <v>122</v>
      </c>
      <c r="D11" s="4" t="str">
        <f t="shared" si="0"/>
        <v>BT12 (Revêtements en textiles naturels - Base 2010)</v>
      </c>
      <c r="E11" s="5">
        <v>1710958</v>
      </c>
    </row>
    <row r="12" spans="1:5" x14ac:dyDescent="0.35">
      <c r="A12" s="4" t="s">
        <v>51</v>
      </c>
      <c r="B12" s="4" t="s">
        <v>62</v>
      </c>
      <c r="C12" s="4" t="s">
        <v>121</v>
      </c>
      <c r="D12" s="4" t="str">
        <f t="shared" si="0"/>
        <v>BT14 (Revêtements en plaque de pierre naturelle sciée et produits assimilés - Base 2010)</v>
      </c>
      <c r="E12" s="5">
        <v>1710959</v>
      </c>
    </row>
    <row r="13" spans="1:5" x14ac:dyDescent="0.35">
      <c r="A13" s="4" t="s">
        <v>51</v>
      </c>
      <c r="B13" s="4" t="s">
        <v>63</v>
      </c>
      <c r="C13" s="4" t="s">
        <v>120</v>
      </c>
      <c r="D13" s="4" t="str">
        <f t="shared" si="0"/>
        <v>BT16b (Charpente en bois - Base 2010)</v>
      </c>
      <c r="E13" s="5">
        <v>1710960</v>
      </c>
    </row>
    <row r="14" spans="1:5" x14ac:dyDescent="0.35">
      <c r="A14" s="4" t="s">
        <v>51</v>
      </c>
      <c r="B14" s="4" t="s">
        <v>64</v>
      </c>
      <c r="C14" s="4" t="s">
        <v>119</v>
      </c>
      <c r="D14" s="4" t="str">
        <f t="shared" si="0"/>
        <v>BT18a (Menuiserie intérieure - Base 2010)</v>
      </c>
      <c r="E14" s="5">
        <v>1710962</v>
      </c>
    </row>
    <row r="15" spans="1:5" x14ac:dyDescent="0.35">
      <c r="A15" s="4" t="s">
        <v>51</v>
      </c>
      <c r="B15" s="4" t="s">
        <v>65</v>
      </c>
      <c r="C15" s="4" t="s">
        <v>118</v>
      </c>
      <c r="D15" s="4" t="str">
        <f t="shared" si="0"/>
        <v>BT19b (Menuiserie extérieure - Base 2010)</v>
      </c>
      <c r="E15" s="5">
        <v>1710963</v>
      </c>
    </row>
    <row r="16" spans="1:5" x14ac:dyDescent="0.35">
      <c r="A16" s="4" t="s">
        <v>51</v>
      </c>
      <c r="B16" s="4" t="s">
        <v>66</v>
      </c>
      <c r="C16" s="4" t="s">
        <v>117</v>
      </c>
      <c r="D16" s="4" t="str">
        <f t="shared" si="0"/>
        <v>BT26 (Fermeture de baies en plastique y compris fenêtre PVC - Base 2010)</v>
      </c>
      <c r="E16" s="5">
        <v>1710965</v>
      </c>
    </row>
    <row r="17" spans="1:5" x14ac:dyDescent="0.35">
      <c r="A17" s="4" t="s">
        <v>51</v>
      </c>
      <c r="B17" s="4" t="s">
        <v>67</v>
      </c>
      <c r="C17" s="4" t="s">
        <v>116</v>
      </c>
      <c r="D17" s="4" t="str">
        <f t="shared" si="0"/>
        <v>BT27 (Fermeture de baies en aluminium - Base 2010)</v>
      </c>
      <c r="E17" s="5">
        <v>1710966</v>
      </c>
    </row>
    <row r="18" spans="1:5" x14ac:dyDescent="0.35">
      <c r="A18" s="4" t="s">
        <v>51</v>
      </c>
      <c r="B18" s="4" t="s">
        <v>68</v>
      </c>
      <c r="C18" s="4" t="s">
        <v>115</v>
      </c>
      <c r="D18" s="4" t="str">
        <f t="shared" ref="D18:D59" si="1">B18 &amp; " (" &amp; C18 &amp; ")"</f>
        <v>BT28 (Fermeture de baies en métal ferreux - Base 2010)</v>
      </c>
      <c r="E18" s="5">
        <v>1710967</v>
      </c>
    </row>
    <row r="19" spans="1:5" x14ac:dyDescent="0.35">
      <c r="A19" s="4" t="s">
        <v>51</v>
      </c>
      <c r="B19" s="4" t="s">
        <v>69</v>
      </c>
      <c r="C19" s="4" t="s">
        <v>114</v>
      </c>
      <c r="D19" s="4" t="str">
        <f t="shared" si="1"/>
        <v>BT30 (Couverture en ardoises de schiste - Base 2010)</v>
      </c>
      <c r="E19" s="5">
        <v>1710968</v>
      </c>
    </row>
    <row r="20" spans="1:5" x14ac:dyDescent="0.35">
      <c r="A20" s="4" t="s">
        <v>51</v>
      </c>
      <c r="B20" s="4" t="s">
        <v>70</v>
      </c>
      <c r="C20" s="4" t="s">
        <v>113</v>
      </c>
      <c r="D20" s="4" t="str">
        <f t="shared" si="1"/>
        <v>BT32 (Couverture en tuiles en terre cuite - Base 2010)</v>
      </c>
      <c r="E20" s="5">
        <v>1710969</v>
      </c>
    </row>
    <row r="21" spans="1:5" x14ac:dyDescent="0.35">
      <c r="A21" s="4" t="s">
        <v>51</v>
      </c>
      <c r="B21" s="4" t="s">
        <v>71</v>
      </c>
      <c r="C21" s="4" t="s">
        <v>112</v>
      </c>
      <c r="D21" s="4" t="str">
        <f t="shared" si="1"/>
        <v>BT33 (Couverture en tuiles en béton - Base 2010)</v>
      </c>
      <c r="E21" s="5">
        <v>1710970</v>
      </c>
    </row>
    <row r="22" spans="1:5" x14ac:dyDescent="0.35">
      <c r="A22" s="4" t="s">
        <v>51</v>
      </c>
      <c r="B22" s="4" t="s">
        <v>72</v>
      </c>
      <c r="C22" s="4" t="s">
        <v>111</v>
      </c>
      <c r="D22" s="4" t="str">
        <f t="shared" si="1"/>
        <v>BT34 (Couverture en zinc et métal (sauf cuivre) - Base 2010)</v>
      </c>
      <c r="E22" s="5">
        <v>1710971</v>
      </c>
    </row>
    <row r="23" spans="1:5" x14ac:dyDescent="0.35">
      <c r="A23" s="4" t="s">
        <v>51</v>
      </c>
      <c r="B23" s="4" t="s">
        <v>73</v>
      </c>
      <c r="C23" s="4" t="s">
        <v>110</v>
      </c>
      <c r="D23" s="4" t="str">
        <f t="shared" si="1"/>
        <v>BT35 (Couverture en bardeaux bituminés d'asphalte - Base 2010)</v>
      </c>
      <c r="E23" s="5">
        <v>1710940</v>
      </c>
    </row>
    <row r="24" spans="1:5" x14ac:dyDescent="0.35">
      <c r="A24" s="4" t="s">
        <v>51</v>
      </c>
      <c r="B24" s="4" t="s">
        <v>74</v>
      </c>
      <c r="C24" s="4" t="s">
        <v>109</v>
      </c>
      <c r="D24" s="4" t="str">
        <f t="shared" si="1"/>
        <v>BT38 (Plomberie sanitaire (y compris appareils) - Base 2010)</v>
      </c>
      <c r="E24" s="5">
        <v>1710972</v>
      </c>
    </row>
    <row r="25" spans="1:5" x14ac:dyDescent="0.35">
      <c r="A25" s="4" t="s">
        <v>51</v>
      </c>
      <c r="B25" s="4" t="s">
        <v>75</v>
      </c>
      <c r="C25" s="4" t="s">
        <v>108</v>
      </c>
      <c r="D25" s="4" t="str">
        <f t="shared" si="1"/>
        <v>BT40 (Chauffage central (à l'exclusion du chauffage électrique) - Base 2010)</v>
      </c>
      <c r="E25" s="5">
        <v>1710973</v>
      </c>
    </row>
    <row r="26" spans="1:5" x14ac:dyDescent="0.35">
      <c r="A26" s="4" t="s">
        <v>51</v>
      </c>
      <c r="B26" s="4" t="s">
        <v>76</v>
      </c>
      <c r="C26" s="4" t="s">
        <v>107</v>
      </c>
      <c r="D26" s="4" t="str">
        <f t="shared" si="1"/>
        <v>BT41 (Ventilation et conditionnement d'air - Base 2010)</v>
      </c>
      <c r="E26" s="5">
        <v>1710974</v>
      </c>
    </row>
    <row r="27" spans="1:5" x14ac:dyDescent="0.35">
      <c r="A27" s="4" t="s">
        <v>51</v>
      </c>
      <c r="B27" s="4" t="s">
        <v>77</v>
      </c>
      <c r="C27" s="4" t="s">
        <v>106</v>
      </c>
      <c r="D27" s="4" t="str">
        <f t="shared" si="1"/>
        <v>BT42 (Menuiserie en acier et serrurerie - Base 2010)</v>
      </c>
      <c r="E27" s="5">
        <v>1710975</v>
      </c>
    </row>
    <row r="28" spans="1:5" x14ac:dyDescent="0.35">
      <c r="A28" s="4" t="s">
        <v>51</v>
      </c>
      <c r="B28" s="4" t="s">
        <v>78</v>
      </c>
      <c r="C28" s="4" t="s">
        <v>105</v>
      </c>
      <c r="D28" s="4" t="str">
        <f t="shared" si="1"/>
        <v>BT43 (Menuiserie en alliage d'aluminium - Base 2010)</v>
      </c>
      <c r="E28" s="5">
        <v>1710976</v>
      </c>
    </row>
    <row r="29" spans="1:5" x14ac:dyDescent="0.35">
      <c r="A29" s="4" t="s">
        <v>51</v>
      </c>
      <c r="B29" s="4" t="s">
        <v>79</v>
      </c>
      <c r="C29" s="4" t="s">
        <v>104</v>
      </c>
      <c r="D29" s="4" t="str">
        <f t="shared" si="1"/>
        <v>BT45 (Vitrerie-miroiterie - Base 2010)</v>
      </c>
      <c r="E29" s="5">
        <v>1710977</v>
      </c>
    </row>
    <row r="30" spans="1:5" x14ac:dyDescent="0.35">
      <c r="A30" s="4" t="s">
        <v>51</v>
      </c>
      <c r="B30" s="4" t="s">
        <v>80</v>
      </c>
      <c r="C30" s="4" t="s">
        <v>103</v>
      </c>
      <c r="D30" s="4" t="str">
        <f t="shared" si="1"/>
        <v>BT46 (Peinture, tenture, revêtements muraux - Base 2010)</v>
      </c>
      <c r="E30" s="5">
        <v>1710978</v>
      </c>
    </row>
    <row r="31" spans="1:5" x14ac:dyDescent="0.35">
      <c r="A31" s="4" t="s">
        <v>51</v>
      </c>
      <c r="B31" s="4" t="s">
        <v>81</v>
      </c>
      <c r="C31" s="4" t="s">
        <v>102</v>
      </c>
      <c r="D31" s="4" t="str">
        <f t="shared" si="1"/>
        <v>BT47 (Électricité - Base 2010)</v>
      </c>
      <c r="E31" s="5">
        <v>1710979</v>
      </c>
    </row>
    <row r="32" spans="1:5" x14ac:dyDescent="0.35">
      <c r="A32" s="4" t="s">
        <v>51</v>
      </c>
      <c r="B32" s="4" t="s">
        <v>82</v>
      </c>
      <c r="C32" s="4" t="s">
        <v>101</v>
      </c>
      <c r="D32" s="4" t="str">
        <f t="shared" si="1"/>
        <v>BT48 (Ascenseurs - Base 2010)</v>
      </c>
      <c r="E32" s="5">
        <v>1710980</v>
      </c>
    </row>
    <row r="33" spans="1:5" x14ac:dyDescent="0.35">
      <c r="A33" s="4" t="s">
        <v>51</v>
      </c>
      <c r="B33" s="4" t="s">
        <v>83</v>
      </c>
      <c r="C33" s="4" t="s">
        <v>100</v>
      </c>
      <c r="D33" s="4" t="str">
        <f t="shared" si="1"/>
        <v>BT49 (Couverture et bardage en tôles d'acier revêtement avec revêtement étanchéité - Base 2010)</v>
      </c>
      <c r="E33" s="5">
        <v>1710981</v>
      </c>
    </row>
    <row r="34" spans="1:5" x14ac:dyDescent="0.35">
      <c r="A34" s="4" t="s">
        <v>51</v>
      </c>
      <c r="B34" s="4" t="s">
        <v>84</v>
      </c>
      <c r="C34" s="4" t="s">
        <v>99</v>
      </c>
      <c r="D34" s="4" t="str">
        <f t="shared" si="1"/>
        <v>BT50 (Rénovation-entretien tous corps d'état - Base 2010)</v>
      </c>
      <c r="E34" s="5">
        <v>1710982</v>
      </c>
    </row>
    <row r="35" spans="1:5" x14ac:dyDescent="0.35">
      <c r="A35" s="4" t="s">
        <v>51</v>
      </c>
      <c r="B35" s="4" t="s">
        <v>85</v>
      </c>
      <c r="C35" s="4" t="s">
        <v>98</v>
      </c>
      <c r="D35" s="4" t="str">
        <f t="shared" si="1"/>
        <v>BT51 (Menuiseries PVC - Base 2010)</v>
      </c>
      <c r="E35" s="5">
        <v>1710983</v>
      </c>
    </row>
    <row r="36" spans="1:5" x14ac:dyDescent="0.35">
      <c r="A36" s="4" t="s">
        <v>51</v>
      </c>
      <c r="B36" s="4" t="s">
        <v>86</v>
      </c>
      <c r="C36" s="4" t="s">
        <v>97</v>
      </c>
      <c r="D36" s="4" t="str">
        <f t="shared" si="1"/>
        <v>BT52 (Imperméabilité de façades - Base 2010)</v>
      </c>
      <c r="E36" s="5">
        <v>1710984</v>
      </c>
    </row>
    <row r="37" spans="1:5" x14ac:dyDescent="0.35">
      <c r="A37" s="4" t="s">
        <v>51</v>
      </c>
      <c r="B37" s="4" t="s">
        <v>87</v>
      </c>
      <c r="C37" s="4" t="s">
        <v>96</v>
      </c>
      <c r="D37" s="4" t="str">
        <f t="shared" si="1"/>
        <v>BT53 (	Étanchéité - Base 2010)</v>
      </c>
      <c r="E37" s="5">
        <v>1710985</v>
      </c>
    </row>
    <row r="38" spans="1:5" x14ac:dyDescent="0.35">
      <c r="A38" s="4" t="s">
        <v>51</v>
      </c>
      <c r="B38" s="4" t="s">
        <v>88</v>
      </c>
      <c r="C38" s="4" t="s">
        <v>95</v>
      </c>
      <c r="D38" s="4" t="str">
        <f t="shared" si="1"/>
        <v>BT54 (Ossature bois - Base 2010)</v>
      </c>
      <c r="E38" s="5">
        <v>1711942</v>
      </c>
    </row>
    <row r="39" spans="1:5" s="7" customFormat="1" x14ac:dyDescent="0.35">
      <c r="A39" s="4" t="s">
        <v>126</v>
      </c>
      <c r="B39" s="4" t="s">
        <v>127</v>
      </c>
      <c r="C39" s="4" t="s">
        <v>143</v>
      </c>
      <c r="D39" s="4" t="str">
        <f t="shared" ref="D39:D55" si="2">B39 &amp; " (" &amp; C39 &amp; ")"</f>
        <v>IDC-EV1 (Travaux de végétalisation - Base 2010)</v>
      </c>
      <c r="E39" s="5">
        <v>1711014</v>
      </c>
    </row>
    <row r="40" spans="1:5" s="7" customFormat="1" x14ac:dyDescent="0.35">
      <c r="A40" s="4" t="s">
        <v>126</v>
      </c>
      <c r="B40" s="4" t="s">
        <v>128</v>
      </c>
      <c r="C40" s="4" t="s">
        <v>144</v>
      </c>
      <c r="D40" s="4" t="str">
        <f t="shared" si="2"/>
        <v>IDC-EV2 (Application de produits phytosanitaires - Base 2010)</v>
      </c>
      <c r="E40" s="5">
        <v>1711015</v>
      </c>
    </row>
    <row r="41" spans="1:5" s="7" customFormat="1" x14ac:dyDescent="0.35">
      <c r="A41" s="4" t="s">
        <v>126</v>
      </c>
      <c r="B41" s="4" t="s">
        <v>129</v>
      </c>
      <c r="C41" s="4" t="s">
        <v>147</v>
      </c>
      <c r="D41" s="4" t="str">
        <f t="shared" si="2"/>
        <v>IDC-EV3 (Travaux de création d'espaces verts - Base 2010)</v>
      </c>
      <c r="E41" s="5">
        <v>1711016</v>
      </c>
    </row>
    <row r="42" spans="1:5" s="7" customFormat="1" x14ac:dyDescent="0.35">
      <c r="A42" s="4" t="s">
        <v>126</v>
      </c>
      <c r="B42" s="4" t="s">
        <v>130</v>
      </c>
      <c r="C42" s="4" t="s">
        <v>145</v>
      </c>
      <c r="D42" s="4" t="str">
        <f t="shared" si="2"/>
        <v>IDC-EV4 (Travaux d'entretien d'espaces verts - Base 2010)</v>
      </c>
      <c r="E42" s="5">
        <v>1711017</v>
      </c>
    </row>
    <row r="43" spans="1:5" s="7" customFormat="1" x14ac:dyDescent="0.35">
      <c r="A43" s="4" t="s">
        <v>126</v>
      </c>
      <c r="B43" s="4" t="s">
        <v>131</v>
      </c>
      <c r="C43" s="4" t="s">
        <v>146</v>
      </c>
      <c r="D43" s="4" t="str">
        <f t="shared" si="2"/>
        <v>IDC-FD (Poste Frais divers des index bâtiment et travaux publics - Base 2010)</v>
      </c>
      <c r="E43" s="5">
        <v>1711011</v>
      </c>
    </row>
    <row r="44" spans="1:5" s="7" customFormat="1" x14ac:dyDescent="0.35">
      <c r="A44" s="4" t="s">
        <v>126</v>
      </c>
      <c r="B44" s="4" t="s">
        <v>132</v>
      </c>
      <c r="C44" s="4" t="s">
        <v>148</v>
      </c>
      <c r="D44" s="4" t="str">
        <f t="shared" si="2"/>
        <v>IDC-FG (Fournitures de graines - Base 2010)</v>
      </c>
      <c r="E44" s="5">
        <v>1711018</v>
      </c>
    </row>
    <row r="45" spans="1:5" s="7" customFormat="1" x14ac:dyDescent="0.35">
      <c r="A45" s="4" t="s">
        <v>126</v>
      </c>
      <c r="B45" s="4" t="s">
        <v>133</v>
      </c>
      <c r="C45" s="4" t="s">
        <v>149</v>
      </c>
      <c r="D45" s="4" t="str">
        <f t="shared" si="2"/>
        <v>IDC-FV (Fournitures de végétaux - Base 2010)</v>
      </c>
      <c r="E45" s="5">
        <v>1711019</v>
      </c>
    </row>
    <row r="46" spans="1:5" s="7" customFormat="1" x14ac:dyDescent="0.35">
      <c r="A46" s="4" t="s">
        <v>126</v>
      </c>
      <c r="B46" s="4" t="s">
        <v>134</v>
      </c>
      <c r="C46" s="4" t="s">
        <v>150</v>
      </c>
      <c r="D46" s="4" t="str">
        <f t="shared" si="2"/>
        <v>IDC-IM (Indice de réactualisation des actifs matériels dans la construction - Base 2010)</v>
      </c>
      <c r="E46" s="5">
        <v>1711020</v>
      </c>
    </row>
    <row r="47" spans="1:5" s="7" customFormat="1" x14ac:dyDescent="0.35">
      <c r="A47" s="4" t="s">
        <v>126</v>
      </c>
      <c r="B47" s="4" t="s">
        <v>135</v>
      </c>
      <c r="C47" s="4" t="s">
        <v>151</v>
      </c>
      <c r="D47" s="4" t="str">
        <f t="shared" si="2"/>
        <v>IDC-ING (Ingénierie - Base 2010)</v>
      </c>
      <c r="E47" s="5">
        <v>1711010</v>
      </c>
    </row>
    <row r="48" spans="1:5" s="7" customFormat="1" x14ac:dyDescent="0.35">
      <c r="A48" s="4" t="s">
        <v>126</v>
      </c>
      <c r="B48" s="4" t="s">
        <v>136</v>
      </c>
      <c r="C48" s="4" t="s">
        <v>152</v>
      </c>
      <c r="D48" s="4" t="str">
        <f t="shared" si="2"/>
        <v>IDC-MABTGO (Poste matériel des index bâtiment Gros-oeuvre - Base 2010)</v>
      </c>
      <c r="E48" s="5">
        <v>1711008</v>
      </c>
    </row>
    <row r="49" spans="1:5" s="7" customFormat="1" x14ac:dyDescent="0.35">
      <c r="A49" s="4" t="s">
        <v>126</v>
      </c>
      <c r="B49" s="4" t="s">
        <v>137</v>
      </c>
      <c r="C49" s="4" t="s">
        <v>153</v>
      </c>
      <c r="D49" s="4" t="str">
        <f t="shared" si="2"/>
        <v>IDC-MABTSO (Poste matériel des index bâtiment Second-oeuvre - Base 2010)</v>
      </c>
      <c r="E49" s="5">
        <v>1711534</v>
      </c>
    </row>
    <row r="50" spans="1:5" s="7" customFormat="1" x14ac:dyDescent="0.35">
      <c r="A50" s="4" t="s">
        <v>126</v>
      </c>
      <c r="B50" s="4" t="s">
        <v>138</v>
      </c>
      <c r="C50" s="4" t="s">
        <v>154</v>
      </c>
      <c r="D50" s="4" t="str">
        <f t="shared" si="2"/>
        <v>IDC-MATP (Poste matériel des index travaux publics - Base 2010)</v>
      </c>
      <c r="E50" s="5">
        <v>1711009</v>
      </c>
    </row>
    <row r="51" spans="1:5" s="7" customFormat="1" x14ac:dyDescent="0.35">
      <c r="A51" s="4" t="s">
        <v>126</v>
      </c>
      <c r="B51" s="4" t="s">
        <v>139</v>
      </c>
      <c r="C51" s="4" t="s">
        <v>155</v>
      </c>
      <c r="D51" s="4" t="str">
        <f t="shared" si="2"/>
        <v>IDC-PMR (Produits de Marquage Routier - Base 2010)</v>
      </c>
      <c r="E51" s="5">
        <v>1711013</v>
      </c>
    </row>
    <row r="52" spans="1:5" s="7" customFormat="1" x14ac:dyDescent="0.35">
      <c r="A52" s="4" t="s">
        <v>126</v>
      </c>
      <c r="B52" s="4" t="s">
        <v>140</v>
      </c>
      <c r="C52" s="4" t="s">
        <v>156</v>
      </c>
      <c r="D52" s="4" t="str">
        <f t="shared" si="2"/>
        <v>IDC-TRBT (Poste Transports routiers des index Bâtiment - Base 2010)</v>
      </c>
      <c r="E52" s="5">
        <v>1711012</v>
      </c>
    </row>
    <row r="53" spans="1:5" s="7" customFormat="1" x14ac:dyDescent="0.35">
      <c r="A53" s="4" t="s">
        <v>126</v>
      </c>
      <c r="B53" s="4" t="s">
        <v>141</v>
      </c>
      <c r="C53" s="4" t="s">
        <v>157</v>
      </c>
      <c r="D53" s="4" t="str">
        <f t="shared" si="2"/>
        <v>IDC-TRTP (Poste Transports routiers des index Travaux Publics - Base 2010)</v>
      </c>
      <c r="E53" s="5">
        <v>1711943</v>
      </c>
    </row>
    <row r="54" spans="1:5" s="7" customFormat="1" x14ac:dyDescent="0.35">
      <c r="A54" s="4" t="s">
        <v>126</v>
      </c>
      <c r="B54" s="4" t="s">
        <v>142</v>
      </c>
      <c r="C54" s="4" t="s">
        <v>158</v>
      </c>
      <c r="D54" s="4" t="str">
        <f t="shared" si="2"/>
        <v>IDC-TSH (Travaux de signalisation horizontale - Base 2010)</v>
      </c>
      <c r="E54" s="5">
        <v>1738995</v>
      </c>
    </row>
    <row r="55" spans="1:5" s="7" customFormat="1" x14ac:dyDescent="0.35">
      <c r="A55" s="4" t="s">
        <v>160</v>
      </c>
      <c r="B55" s="4" t="s">
        <v>161</v>
      </c>
      <c r="C55" s="4" t="s">
        <v>162</v>
      </c>
      <c r="D55" s="4" t="str">
        <f t="shared" si="2"/>
        <v>IPS-TE (Transports et entreposage (NAF rév. 2, niv. section poste H) - Base 100 en 2015)</v>
      </c>
      <c r="E55" s="5">
        <v>10544535</v>
      </c>
    </row>
    <row r="56" spans="1:5" x14ac:dyDescent="0.35">
      <c r="A56" s="1" t="s">
        <v>8</v>
      </c>
      <c r="B56" s="1" t="s">
        <v>3</v>
      </c>
      <c r="C56" s="1" t="s">
        <v>10</v>
      </c>
      <c r="D56" s="1" t="str">
        <f t="shared" si="1"/>
        <v>TP01 (Index général tous travaux - Base 2010)</v>
      </c>
      <c r="E56" s="6">
        <v>1711007</v>
      </c>
    </row>
    <row r="57" spans="1:5" x14ac:dyDescent="0.35">
      <c r="A57" s="1" t="s">
        <v>8</v>
      </c>
      <c r="B57" s="1" t="s">
        <v>6</v>
      </c>
      <c r="C57" s="1" t="s">
        <v>11</v>
      </c>
      <c r="D57" s="1" t="str">
        <f t="shared" si="1"/>
        <v>TP02 (Travaux de génie civil et d'ouvrages d'art neufs ou rénovation - Base 2010)</v>
      </c>
      <c r="E57" s="6">
        <v>1710987</v>
      </c>
    </row>
    <row r="58" spans="1:5" x14ac:dyDescent="0.35">
      <c r="A58" s="1" t="s">
        <v>8</v>
      </c>
      <c r="B58" s="1" t="s">
        <v>9</v>
      </c>
      <c r="C58" s="1" t="s">
        <v>12</v>
      </c>
      <c r="D58" s="1" t="str">
        <f t="shared" si="1"/>
        <v>TP03a (Grands terrassements - Base 2010)</v>
      </c>
      <c r="E58" s="6">
        <v>1710988</v>
      </c>
    </row>
    <row r="59" spans="1:5" x14ac:dyDescent="0.35">
      <c r="A59" s="1" t="s">
        <v>8</v>
      </c>
      <c r="B59" s="1" t="s">
        <v>14</v>
      </c>
      <c r="C59" s="1" t="s">
        <v>13</v>
      </c>
      <c r="D59" s="1" t="str">
        <f t="shared" si="1"/>
        <v>TP03b (Travaux à l'explosif - Base 2010)</v>
      </c>
      <c r="E59" s="6">
        <v>1710989</v>
      </c>
    </row>
    <row r="60" spans="1:5" x14ac:dyDescent="0.35">
      <c r="A60" s="1" t="s">
        <v>8</v>
      </c>
      <c r="B60" s="1" t="s">
        <v>15</v>
      </c>
      <c r="C60" s="1" t="s">
        <v>33</v>
      </c>
      <c r="D60" s="1" t="str">
        <f t="shared" ref="D60:D66" si="3">B60 &amp; " (" &amp; C60 &amp; ")"</f>
        <v>TP04 (Fondations et travaux géotechniques - Base 2010)</v>
      </c>
      <c r="E60" s="6">
        <v>1710990</v>
      </c>
    </row>
    <row r="61" spans="1:5" x14ac:dyDescent="0.35">
      <c r="A61" s="1" t="s">
        <v>8</v>
      </c>
      <c r="B61" s="1" t="s">
        <v>16</v>
      </c>
      <c r="C61" s="1" t="s">
        <v>34</v>
      </c>
      <c r="D61" s="1" t="str">
        <f t="shared" si="3"/>
        <v>TP05a (Travaux en souterrains traditionnels - Base 2010)</v>
      </c>
      <c r="E61" s="6">
        <v>1710991</v>
      </c>
    </row>
    <row r="62" spans="1:5" x14ac:dyDescent="0.35">
      <c r="A62" s="1" t="s">
        <v>8</v>
      </c>
      <c r="B62" s="1" t="s">
        <v>17</v>
      </c>
      <c r="C62" s="1" t="s">
        <v>35</v>
      </c>
      <c r="D62" s="1" t="str">
        <f t="shared" si="3"/>
        <v>TP05b (Travaux en souterrains avec tunnelier - Base 2010)</v>
      </c>
      <c r="E62" s="6">
        <v>1710992</v>
      </c>
    </row>
    <row r="63" spans="1:5" x14ac:dyDescent="0.35">
      <c r="A63" s="1" t="s">
        <v>8</v>
      </c>
      <c r="B63" s="1" t="s">
        <v>18</v>
      </c>
      <c r="C63" s="1" t="s">
        <v>36</v>
      </c>
      <c r="D63" s="1" t="str">
        <f t="shared" si="3"/>
        <v>TP06a (Grands dragages maritimes - Base 2010)</v>
      </c>
      <c r="E63" s="6">
        <v>1710993</v>
      </c>
    </row>
    <row r="64" spans="1:5" x14ac:dyDescent="0.35">
      <c r="A64" s="1" t="s">
        <v>8</v>
      </c>
      <c r="B64" s="1" t="s">
        <v>19</v>
      </c>
      <c r="C64" s="1" t="s">
        <v>37</v>
      </c>
      <c r="D64" s="1" t="str">
        <f t="shared" si="3"/>
        <v>TP06b (Dragages fluviaux et petits dragages maritimes - Base 2010)</v>
      </c>
      <c r="E64" s="6">
        <v>1710994</v>
      </c>
    </row>
    <row r="65" spans="1:5" x14ac:dyDescent="0.35">
      <c r="A65" s="1" t="s">
        <v>8</v>
      </c>
      <c r="B65" s="1" t="s">
        <v>20</v>
      </c>
      <c r="C65" s="1" t="s">
        <v>38</v>
      </c>
      <c r="D65" s="1" t="str">
        <f t="shared" si="3"/>
        <v>TP07b (Travaux de génie civil, béton et acier pour ouvrages maritimes - Base 2010)</v>
      </c>
      <c r="E65" s="6">
        <v>1710995</v>
      </c>
    </row>
    <row r="66" spans="1:5" x14ac:dyDescent="0.35">
      <c r="A66" s="1" t="s">
        <v>8</v>
      </c>
      <c r="B66" s="1" t="s">
        <v>21</v>
      </c>
      <c r="C66" s="1" t="s">
        <v>39</v>
      </c>
      <c r="D66" s="1" t="str">
        <f t="shared" si="3"/>
        <v>TP08 (Travaux d’aménagement et entretien de voirie - Base 2010)</v>
      </c>
      <c r="E66" s="6">
        <v>1710996</v>
      </c>
    </row>
    <row r="67" spans="1:5" x14ac:dyDescent="0.35">
      <c r="A67" s="1" t="s">
        <v>8</v>
      </c>
      <c r="B67" s="1" t="s">
        <v>22</v>
      </c>
      <c r="C67" s="1" t="s">
        <v>40</v>
      </c>
      <c r="D67" s="1" t="str">
        <f t="shared" ref="D67:D69" si="4">B67 &amp; " (" &amp; C67 &amp; ")"</f>
        <v>TP09 (Fabrication et mise en œuvre d’enrobés - Base 2010)</v>
      </c>
      <c r="E67" s="6">
        <v>1710997</v>
      </c>
    </row>
    <row r="68" spans="1:5" x14ac:dyDescent="0.35">
      <c r="A68" s="1" t="s">
        <v>8</v>
      </c>
      <c r="B68" s="1" t="s">
        <v>23</v>
      </c>
      <c r="C68" s="1" t="s">
        <v>41</v>
      </c>
      <c r="D68" s="1" t="str">
        <f t="shared" si="4"/>
        <v>TP10a (Canalisations, assainissement et adduction d’eau avec fourniture de tuyaux - Base 2010)</v>
      </c>
      <c r="E68" s="6">
        <v>1710998</v>
      </c>
    </row>
    <row r="69" spans="1:5" x14ac:dyDescent="0.35">
      <c r="A69" s="1" t="s">
        <v>8</v>
      </c>
      <c r="B69" s="1" t="s">
        <v>24</v>
      </c>
      <c r="C69" s="1" t="s">
        <v>42</v>
      </c>
      <c r="D69" s="1" t="str">
        <f t="shared" si="4"/>
        <v>TP10b (Canalisations sans fourniture de tuyaux - Base 2010)</v>
      </c>
      <c r="E69" s="6">
        <v>1710999</v>
      </c>
    </row>
    <row r="70" spans="1:5" x14ac:dyDescent="0.35">
      <c r="A70" s="1" t="s">
        <v>8</v>
      </c>
      <c r="B70" s="1" t="s">
        <v>25</v>
      </c>
      <c r="C70" s="1" t="s">
        <v>43</v>
      </c>
      <c r="D70" s="1" t="str">
        <f t="shared" ref="D70:D73" si="5">B70 &amp; " (" &amp; C70 &amp; ")"</f>
        <v>TP10c (Réhabilitation de canalisations non visitables - Base 2010)</v>
      </c>
      <c r="E70" s="6">
        <v>1711000</v>
      </c>
    </row>
    <row r="71" spans="1:5" x14ac:dyDescent="0.35">
      <c r="A71" s="1" t="s">
        <v>8</v>
      </c>
      <c r="B71" s="1" t="s">
        <v>26</v>
      </c>
      <c r="C71" s="1" t="s">
        <v>44</v>
      </c>
      <c r="D71" s="1" t="str">
        <f t="shared" si="5"/>
        <v>TP11 (Canalisations grandes distances de transport / transfert  avec fourniture de tuyaux - Base 2010)</v>
      </c>
      <c r="E71" s="6">
        <v>1711001</v>
      </c>
    </row>
    <row r="72" spans="1:5" x14ac:dyDescent="0.35">
      <c r="A72" s="1" t="s">
        <v>8</v>
      </c>
      <c r="B72" s="1" t="s">
        <v>27</v>
      </c>
      <c r="C72" s="1" t="s">
        <v>45</v>
      </c>
      <c r="D72" s="1" t="str">
        <f t="shared" si="5"/>
        <v>TP12a (Réseaux d'énergie et de communication - Base 2010)</v>
      </c>
      <c r="E72" s="6">
        <v>1711002</v>
      </c>
    </row>
    <row r="73" spans="1:5" x14ac:dyDescent="0.35">
      <c r="A73" s="1" t="s">
        <v>8</v>
      </c>
      <c r="B73" s="1" t="s">
        <v>28</v>
      </c>
      <c r="C73" s="1" t="s">
        <v>47</v>
      </c>
      <c r="D73" s="1" t="str">
        <f t="shared" si="5"/>
        <v>TP12b (Éclairage public -Travaux d'installation - Base 2010)</v>
      </c>
      <c r="E73" s="6">
        <v>1711003</v>
      </c>
    </row>
    <row r="74" spans="1:5" x14ac:dyDescent="0.35">
      <c r="A74" s="1" t="s">
        <v>8</v>
      </c>
      <c r="B74" s="1" t="s">
        <v>29</v>
      </c>
      <c r="C74" s="1" t="s">
        <v>48</v>
      </c>
      <c r="D74" s="1" t="str">
        <f>B74 &amp; " (" &amp; C74 &amp; ")"</f>
        <v>TP12c (Éclairage public - Travaux  de maintenance - Base 2010)</v>
      </c>
      <c r="E74" s="6">
        <v>1711004</v>
      </c>
    </row>
    <row r="75" spans="1:5" x14ac:dyDescent="0.35">
      <c r="A75" s="1" t="s">
        <v>8</v>
      </c>
      <c r="B75" s="1" t="s">
        <v>30</v>
      </c>
      <c r="C75" s="1" t="s">
        <v>50</v>
      </c>
      <c r="D75" s="1" t="str">
        <f t="shared" ref="D75:D77" si="6">B75 &amp; " (" &amp; C75 &amp; ")"</f>
        <v>TP12d (Réseaux de communication en fibre optique - Base 2010)</v>
      </c>
      <c r="E75" s="6">
        <v>1796841</v>
      </c>
    </row>
    <row r="76" spans="1:5" x14ac:dyDescent="0.35">
      <c r="A76" s="1" t="s">
        <v>8</v>
      </c>
      <c r="B76" s="1" t="s">
        <v>31</v>
      </c>
      <c r="C76" s="1" t="s">
        <v>46</v>
      </c>
      <c r="D76" s="1" t="str">
        <f t="shared" si="6"/>
        <v>TP13 (Charpentes et ouvrages d’art métalliques - Base 2010)</v>
      </c>
      <c r="E76" s="6">
        <v>1711005</v>
      </c>
    </row>
    <row r="77" spans="1:5" x14ac:dyDescent="0.35">
      <c r="A77" s="1" t="s">
        <v>8</v>
      </c>
      <c r="B77" s="1" t="s">
        <v>32</v>
      </c>
      <c r="C77" s="1" t="s">
        <v>49</v>
      </c>
      <c r="D77" s="1" t="str">
        <f t="shared" si="6"/>
        <v>TP14 (Travaux immergés par scaphandriers - Base 2010)</v>
      </c>
      <c r="E77" s="6">
        <v>1711006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F0568-DB5C-42D4-82CE-D008AB3FF5A9}">
  <sheetPr codeName="Feuil2"/>
  <dimension ref="A1:AAA42"/>
  <sheetViews>
    <sheetView workbookViewId="0"/>
  </sheetViews>
  <sheetFormatPr baseColWidth="10" defaultRowHeight="14.5" x14ac:dyDescent="0.35"/>
  <sheetData>
    <row r="1" spans="1:703" x14ac:dyDescent="0.35">
      <c r="A1" s="2" t="s">
        <v>5</v>
      </c>
      <c r="AAA1" t="s">
        <v>163</v>
      </c>
    </row>
    <row r="2" spans="1:703" x14ac:dyDescent="0.35">
      <c r="A2" s="1">
        <v>2000</v>
      </c>
    </row>
    <row r="3" spans="1:703" x14ac:dyDescent="0.35">
      <c r="A3" s="1">
        <v>2001</v>
      </c>
    </row>
    <row r="4" spans="1:703" x14ac:dyDescent="0.35">
      <c r="A4" s="1">
        <v>2002</v>
      </c>
    </row>
    <row r="5" spans="1:703" x14ac:dyDescent="0.35">
      <c r="A5" s="1">
        <v>2003</v>
      </c>
    </row>
    <row r="6" spans="1:703" x14ac:dyDescent="0.35">
      <c r="A6" s="1">
        <v>2004</v>
      </c>
    </row>
    <row r="7" spans="1:703" x14ac:dyDescent="0.35">
      <c r="A7" s="1">
        <v>2005</v>
      </c>
    </row>
    <row r="8" spans="1:703" x14ac:dyDescent="0.35">
      <c r="A8" s="1">
        <v>2006</v>
      </c>
    </row>
    <row r="9" spans="1:703" x14ac:dyDescent="0.35">
      <c r="A9" s="1">
        <v>2007</v>
      </c>
    </row>
    <row r="10" spans="1:703" x14ac:dyDescent="0.35">
      <c r="A10" s="1">
        <v>2008</v>
      </c>
    </row>
    <row r="11" spans="1:703" x14ac:dyDescent="0.35">
      <c r="A11" s="1">
        <v>2009</v>
      </c>
    </row>
    <row r="12" spans="1:703" x14ac:dyDescent="0.35">
      <c r="A12" s="1">
        <v>2010</v>
      </c>
    </row>
    <row r="13" spans="1:703" x14ac:dyDescent="0.35">
      <c r="A13" s="1">
        <v>2011</v>
      </c>
    </row>
    <row r="14" spans="1:703" x14ac:dyDescent="0.35">
      <c r="A14" s="1">
        <v>2012</v>
      </c>
    </row>
    <row r="15" spans="1:703" x14ac:dyDescent="0.35">
      <c r="A15" s="1">
        <v>2013</v>
      </c>
    </row>
    <row r="16" spans="1:703" x14ac:dyDescent="0.35">
      <c r="A16" s="1">
        <v>2014</v>
      </c>
    </row>
    <row r="17" spans="1:1" x14ac:dyDescent="0.35">
      <c r="A17" s="1">
        <v>2015</v>
      </c>
    </row>
    <row r="18" spans="1:1" x14ac:dyDescent="0.35">
      <c r="A18" s="1">
        <v>2016</v>
      </c>
    </row>
    <row r="19" spans="1:1" x14ac:dyDescent="0.35">
      <c r="A19" s="1">
        <v>2017</v>
      </c>
    </row>
    <row r="20" spans="1:1" x14ac:dyDescent="0.35">
      <c r="A20" s="1">
        <v>2018</v>
      </c>
    </row>
    <row r="21" spans="1:1" x14ac:dyDescent="0.35">
      <c r="A21" s="1">
        <v>2019</v>
      </c>
    </row>
    <row r="22" spans="1:1" x14ac:dyDescent="0.35">
      <c r="A22" s="1">
        <v>2020</v>
      </c>
    </row>
    <row r="23" spans="1:1" x14ac:dyDescent="0.35">
      <c r="A23" s="1">
        <v>2021</v>
      </c>
    </row>
    <row r="24" spans="1:1" x14ac:dyDescent="0.35">
      <c r="A24" s="1">
        <v>2022</v>
      </c>
    </row>
    <row r="25" spans="1:1" x14ac:dyDescent="0.35">
      <c r="A25" s="1">
        <v>2023</v>
      </c>
    </row>
    <row r="26" spans="1:1" x14ac:dyDescent="0.35">
      <c r="A26" s="1">
        <v>2024</v>
      </c>
    </row>
    <row r="27" spans="1:1" x14ac:dyDescent="0.35">
      <c r="A27" s="1">
        <v>2025</v>
      </c>
    </row>
    <row r="28" spans="1:1" x14ac:dyDescent="0.35">
      <c r="A28" s="1">
        <v>2026</v>
      </c>
    </row>
    <row r="29" spans="1:1" x14ac:dyDescent="0.35">
      <c r="A29" s="1">
        <v>2027</v>
      </c>
    </row>
    <row r="30" spans="1:1" x14ac:dyDescent="0.35">
      <c r="A30" s="1">
        <v>2028</v>
      </c>
    </row>
    <row r="31" spans="1:1" x14ac:dyDescent="0.35">
      <c r="A31" s="1">
        <v>2029</v>
      </c>
    </row>
    <row r="32" spans="1:1" x14ac:dyDescent="0.35">
      <c r="A32" s="1">
        <v>2030</v>
      </c>
    </row>
    <row r="33" spans="1:1" x14ac:dyDescent="0.35">
      <c r="A33" s="1">
        <v>2031</v>
      </c>
    </row>
    <row r="34" spans="1:1" x14ac:dyDescent="0.35">
      <c r="A34" s="1">
        <v>2032</v>
      </c>
    </row>
    <row r="35" spans="1:1" x14ac:dyDescent="0.35">
      <c r="A35" s="1">
        <v>2033</v>
      </c>
    </row>
    <row r="36" spans="1:1" x14ac:dyDescent="0.35">
      <c r="A36" s="1">
        <v>2034</v>
      </c>
    </row>
    <row r="37" spans="1:1" x14ac:dyDescent="0.35">
      <c r="A37" s="1">
        <v>2035</v>
      </c>
    </row>
    <row r="38" spans="1:1" x14ac:dyDescent="0.35">
      <c r="A38" s="1">
        <v>2036</v>
      </c>
    </row>
    <row r="39" spans="1:1" x14ac:dyDescent="0.35">
      <c r="A39" s="1">
        <v>2037</v>
      </c>
    </row>
    <row r="40" spans="1:1" x14ac:dyDescent="0.35">
      <c r="A40" s="1">
        <v>2038</v>
      </c>
    </row>
    <row r="41" spans="1:1" x14ac:dyDescent="0.35">
      <c r="A41" s="1">
        <v>2039</v>
      </c>
    </row>
    <row r="42" spans="1:1" x14ac:dyDescent="0.35">
      <c r="A42" s="1">
        <v>2040</v>
      </c>
    </row>
  </sheetData>
  <phoneticPr fontId="5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14</vt:i4>
      </vt:variant>
    </vt:vector>
  </HeadingPairs>
  <TitlesOfParts>
    <vt:vector size="17" baseType="lpstr">
      <vt:lpstr>Observatoire INSEE</vt:lpstr>
      <vt:lpstr>IndicesINSEE</vt:lpstr>
      <vt:lpstr>Dates</vt:lpstr>
      <vt:lpstr>AnneeDebut</vt:lpstr>
      <vt:lpstr>AnneeFin</vt:lpstr>
      <vt:lpstr>IndiceINSEE1</vt:lpstr>
      <vt:lpstr>IndiceINSEE10</vt:lpstr>
      <vt:lpstr>IndiceINSEE2</vt:lpstr>
      <vt:lpstr>IndiceINSEE3</vt:lpstr>
      <vt:lpstr>IndiceINSEE4</vt:lpstr>
      <vt:lpstr>IndiceINSEE5</vt:lpstr>
      <vt:lpstr>IndiceINSEE6</vt:lpstr>
      <vt:lpstr>IndiceINSEE7</vt:lpstr>
      <vt:lpstr>IndiceINSEE8</vt:lpstr>
      <vt:lpstr>IndiceINSEE9</vt:lpstr>
      <vt:lpstr>MoisDebut</vt:lpstr>
      <vt:lpstr>MoisFin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cp:lastPrinted>2019-11-05T23:03:01Z</cp:lastPrinted>
  <dcterms:created xsi:type="dcterms:W3CDTF">2019-11-04T10:26:53Z</dcterms:created>
  <dcterms:modified xsi:type="dcterms:W3CDTF">2019-11-13T23:01:59Z</dcterms:modified>
</cp:coreProperties>
</file>